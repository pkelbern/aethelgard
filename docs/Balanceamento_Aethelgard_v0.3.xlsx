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arâmetros" sheetId="2" state="visible" r:id="rId4"/>
    <sheet name="Simulação Ato 1" sheetId="3" state="visible" r:id="rId5"/>
    <sheet name="Curva" sheetId="4" state="visible" r:id="rId6"/>
    <sheet name="Monstros" sheetId="5" state="visible" r:id="rId7"/>
    <sheet name="Fator Nível" sheetId="6" state="visible" r:id="rId8"/>
    <sheet name="Curva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<sst xmlns="http://schemas.openxmlformats.org/spreadsheetml/2006/main" count="206" uniqueCount="176">
  <si>
    <t xml:space="preserve">Planilha de balanceamento – Aethelgard (v0.3)</t>
  </si>
  <si>
    <t xml:space="preserve">Objetivo: calibrar a progressão por uso. O ritmo segue o de ARPGs clássicos (Diablo II em Normal), mas com curvas próprias por fórmula.</t>
  </si>
  <si>
    <t xml:space="preserve">O jogo (código Python) lê os mesmos parâmetros de src/aethelgard/data/curves.json e balance.json; a simulação do código dá o mesmo resultado desta planilha.</t>
  </si>
  <si>
    <t xml:space="preserve">Abas:</t>
  </si>
  <si>
    <t xml:space="preserve">  Parâmetros – tudo que pode ser ajustado. Mude aqui e o resto recalcula.</t>
  </si>
  <si>
    <t xml:space="preserve">  Curvas – parâmetros a, p, g das fórmulas e as tabelas geradas (XP da proficiência e escala dos monstros por nível).</t>
  </si>
  <si>
    <t xml:space="preserve">  Curva – XP por nível da proficiência e quantos abates cada nível exige.</t>
  </si>
  <si>
    <t xml:space="preserve">  Monstros – vida, dano e XP por nível de monstro, já com os multiplicadores de champion, único e minion.</t>
  </si>
  <si>
    <t xml:space="preserve">  Fator Nível – multiplicador de XP pela diferença de nível.</t>
  </si>
  <si>
    <t xml:space="preserve">  Simulação Ato 1 – em que nível cada proficiência chega ao fim de cada área do MVP.</t>
  </si>
  <si>
    <t xml:space="preserve">Convenção de cores:</t>
  </si>
  <si>
    <t xml:space="preserve">  Azul com fundo amarelo = valor de entrada (pode editar).</t>
  </si>
  <si>
    <t xml:space="preserve">  Preto = fórmula (não editar).</t>
  </si>
  <si>
    <t xml:space="preserve">  Verde = referência a outra aba.</t>
  </si>
  <si>
    <t xml:space="preserve">Modelo:</t>
  </si>
  <si>
    <t xml:space="preserve">  • Curvas por fórmula a × n^p × g^n (aba Curvas), ajustadas para ter o ritmo do D2 sem copiar tabelas de outro jogo.</t>
  </si>
  <si>
    <t xml:space="preserve">  • XP de um monstro = XP do nível × "Exp% médio" (cada tipo tem o seu, de ~80% a ~120%).</t>
  </si>
  <si>
    <t xml:space="preserve">  • Champion, único e minion: +2/+3 níveis, vida ×3/×4/×2, XP ×3/×5/×5 (multiplicadores no estilo do D2 em Normal).</t>
  </si>
  <si>
    <t xml:space="preserve">  • Fator de nível: 100% até ±5 níveis, caindo para 2% acima e 5% abaixo de 10 níveis de diferença.</t>
  </si>
  <si>
    <t xml:space="preserve">  • Pacotes especiais por área: 1 a 2, cada um 80% único com minions e 20% grupo de champions.</t>
  </si>
  <si>
    <t xml:space="preserve">  • O XP do abate vai para a proficiência que causou o dano; Escudo e Couraça ganham XP defensivo com teto por monstro.</t>
  </si>
  <si>
    <t xml:space="preserve">Referências de ritmo: Fonte: classic.battle.net/diablo2exp/monsters/bonus.shtml (dificuldade Normal) · Fonte: classic.battle.net/diablo2exp/basics/experience.shtml (tabela para personagens abaixo do nível 25)</t>
  </si>
  <si>
    <t xml:space="preserve">Parâmetros de balanceamento</t>
  </si>
  <si>
    <t xml:space="preserve">Edite só as células azuis com fundo amarelo.</t>
  </si>
  <si>
    <t xml:space="preserve">Parâmetro</t>
  </si>
  <si>
    <t xml:space="preserve">Valor</t>
  </si>
  <si>
    <t xml:space="preserve">Observação / fonte</t>
  </si>
  <si>
    <t xml:space="preserve">Escala extra da curva de XP</t>
  </si>
  <si>
    <t xml:space="preserve">Multiplica a curva da aba Curvas. 1,0 = como no jogo.</t>
  </si>
  <si>
    <t xml:space="preserve">Exp% médio de um monstro normal</t>
  </si>
  <si>
    <t xml:space="preserve">Cada tipo de monstro tem o seu (monsters.json, expPct de 80 a 120). Usamos a média.</t>
  </si>
  <si>
    <t xml:space="preserve">Fração do XP de abate para a proficiência principal (Lâminas)</t>
  </si>
  <si>
    <t xml:space="preserve">Nosso. O resto vem de habilidades de outras árvores (ex.: Golpe de Escudo).</t>
  </si>
  <si>
    <t xml:space="preserve">XP defensivo médio do Escudo (% do XP do abate)</t>
  </si>
  <si>
    <t xml:space="preserve">Nosso. Depende de quantos golpes são bloqueados.</t>
  </si>
  <si>
    <t xml:space="preserve">XP defensivo médio da Couraça (% do XP do abate)</t>
  </si>
  <si>
    <t xml:space="preserve">Nosso. Depende da armadura.</t>
  </si>
  <si>
    <t xml:space="preserve">XP por golpe defendido (× XP_base do monstro)</t>
  </si>
  <si>
    <t xml:space="preserve">Nosso (v0.1 usava 0,15).</t>
  </si>
  <si>
    <t xml:space="preserve">Teto de XP defensivo por monstro (× XP_base)</t>
  </si>
  <si>
    <t xml:space="preserve">Nosso (v0.1 usava 1,5). Escudo + Couraça somados.</t>
  </si>
  <si>
    <t xml:space="preserve">Nível máximo de proficiência no MVP</t>
  </si>
  <si>
    <t xml:space="preserve">Nosso.</t>
  </si>
  <si>
    <t xml:space="preserve">Tipos de monstro (multiplicadores sobre o monstro normal)</t>
  </si>
  <si>
    <t xml:space="preserve">Tipo</t>
  </si>
  <si>
    <t xml:space="preserve">+ Nível</t>
  </si>
  <si>
    <t xml:space="preserve">Vida ×</t>
  </si>
  <si>
    <t xml:space="preserve">XP ×</t>
  </si>
  <si>
    <t xml:space="preserve">Dano extra</t>
  </si>
  <si>
    <t xml:space="preserve">Precisão extra</t>
  </si>
  <si>
    <t xml:space="preserve">Normal</t>
  </si>
  <si>
    <t xml:space="preserve">Referência.</t>
  </si>
  <si>
    <t xml:space="preserve">Champion</t>
  </si>
  <si>
    <t xml:space="preserve">Fonte: classic.battle.net/diablo2exp/monsters/bonus.shtml (dificuldade Normal)</t>
  </si>
  <si>
    <t xml:space="preserve">Champion Berserker (variante)</t>
  </si>
  <si>
    <t xml:space="preserve">Fonte: classic.battle.net/diablo2exp/monsters/bonus.shtml (dificuldade Normal). 1 por pacote, chance de 1 em 5.</t>
  </si>
  <si>
    <t xml:space="preserve">Único (líder)</t>
  </si>
  <si>
    <t xml:space="preserve">Fonte: classic.battle.net/diablo2exp/monsters/bonus.shtml (dificuldade Normal). Dano/precisão extra (+135%/+90%) só com o modificador Extra Forte.</t>
  </si>
  <si>
    <t xml:space="preserve">Minion</t>
  </si>
  <si>
    <t xml:space="preserve">Fonte: classic.battle.net/diablo2exp/monsters/bonus.shtml (dificuldade Normal). +67%/+45% só se o líder tiver Extra Forte.</t>
  </si>
  <si>
    <t xml:space="preserve">Chefe</t>
  </si>
  <si>
    <t xml:space="preserve">Nosso: nível e vida fixos por chefe; XP ×15.</t>
  </si>
  <si>
    <t xml:space="preserve">Spawn e tamanho das áreas</t>
  </si>
  <si>
    <t xml:space="preserve">Pacotes especiais por área ou andar (média)</t>
  </si>
  <si>
    <t xml:space="preserve">balance.json → spawn: 1 a 2 por área.</t>
  </si>
  <si>
    <t xml:space="preserve">Chance de o pacote especial ser único</t>
  </si>
  <si>
    <t xml:space="preserve">Fonte: classic.battle.net/diablo2exp/monsters/bonus.shtml (dificuldade Normal) (80% único, 20% champion).</t>
  </si>
  <si>
    <t xml:space="preserve">Monstros por pacote de champions (média)</t>
  </si>
  <si>
    <t xml:space="preserve">Fonte: classic.battle.net/diablo2exp/monsters/bonus.shtml (dificuldade Normal) (2–4).</t>
  </si>
  <si>
    <t xml:space="preserve">Minions por único (média)</t>
  </si>
  <si>
    <t xml:space="preserve">Fonte: classic.battle.net/diablo2exp/monsters/bonus.shtml (dificuldade Normal) (3–6).</t>
  </si>
  <si>
    <t xml:space="preserve">Monstros por grupo normal (média)</t>
  </si>
  <si>
    <t xml:space="preserve">Nosso. Ajuste conforme a densidade desejada.</t>
  </si>
  <si>
    <t xml:space="preserve">Grupos normais por área aberta</t>
  </si>
  <si>
    <t xml:space="preserve">Nosso. ~90 monstros por área aberta.</t>
  </si>
  <si>
    <t xml:space="preserve">Grupos normais por andar de masmorra</t>
  </si>
  <si>
    <t xml:space="preserve">Nosso. ~65 monstros por andar.</t>
  </si>
  <si>
    <t xml:space="preserve">Nível do chefe do Ato 1</t>
  </si>
  <si>
    <t xml:space="preserve">monsters.json → bosses.</t>
  </si>
  <si>
    <t xml:space="preserve">Simulação de progressão – Ato 1 do MVP</t>
  </si>
  <si>
    <t xml:space="preserve">Supõe que o jogador limpa cada área inteira, na ordem. Nível de entrada = nível da proficiência ao chegar na área. Edite a coluna de nível e o tipo de área (Aberta/Masmorra/Chefe).</t>
  </si>
  <si>
    <t xml:space="preserve">Área</t>
  </si>
  <si>
    <t xml:space="preserve">Nível dos monstros</t>
  </si>
  <si>
    <t xml:space="preserve">Monstros normais</t>
  </si>
  <si>
    <t xml:space="preserve">Pacotes especiais</t>
  </si>
  <si>
    <t xml:space="preserve">Lâminas: nível na entrada</t>
  </si>
  <si>
    <t xml:space="preserve">XP normais</t>
  </si>
  <si>
    <t xml:space="preserve">XP únicos + minions</t>
  </si>
  <si>
    <t xml:space="preserve">XP champions</t>
  </si>
  <si>
    <t xml:space="preserve">XP do abate (total)</t>
  </si>
  <si>
    <t xml:space="preserve">Lâminas: XP ganho</t>
  </si>
  <si>
    <t xml:space="preserve">Lâminas: XP acumulado</t>
  </si>
  <si>
    <t xml:space="preserve">Lâminas: nível na saída</t>
  </si>
  <si>
    <t xml:space="preserve">Escudo: nível na entrada</t>
  </si>
  <si>
    <t xml:space="preserve">Escudo: XP ganho</t>
  </si>
  <si>
    <t xml:space="preserve">Escudo: XP acumulado</t>
  </si>
  <si>
    <t xml:space="preserve">Escudo: nível na saída</t>
  </si>
  <si>
    <t xml:space="preserve">Couraça: nível na entrada</t>
  </si>
  <si>
    <t xml:space="preserve">Couraça: XP ganho</t>
  </si>
  <si>
    <t xml:space="preserve">Couraça: XP acumulado</t>
  </si>
  <si>
    <t xml:space="preserve">Couraça: nível na saída</t>
  </si>
  <si>
    <t xml:space="preserve">Nível do personagem (NP)</t>
  </si>
  <si>
    <t xml:space="preserve">Planície Sangrenta</t>
  </si>
  <si>
    <t xml:space="preserve">Aberta</t>
  </si>
  <si>
    <t xml:space="preserve">Caverna Rasa – andar 1</t>
  </si>
  <si>
    <t xml:space="preserve">Masmorra</t>
  </si>
  <si>
    <t xml:space="preserve">Caverna Rasa – andar 2</t>
  </si>
  <si>
    <t xml:space="preserve">Bosque Sombrio</t>
  </si>
  <si>
    <t xml:space="preserve">Colinas Rochosas</t>
  </si>
  <si>
    <t xml:space="preserve">Cripta Esquecida – andar 1</t>
  </si>
  <si>
    <t xml:space="preserve">Cripta Esquecida – andar 2</t>
  </si>
  <si>
    <t xml:space="preserve">Cripta Esquecida – andar 3</t>
  </si>
  <si>
    <t xml:space="preserve">Chefe do Ato 1</t>
  </si>
  <si>
    <t xml:space="preserve">Resumo ao derrotar o chefe</t>
  </si>
  <si>
    <t xml:space="preserve">Lâminas</t>
  </si>
  <si>
    <t xml:space="preserve">Escudo</t>
  </si>
  <si>
    <t xml:space="preserve">Couraça</t>
  </si>
  <si>
    <t xml:space="preserve">Total de monstros mortos (aprox.)</t>
  </si>
  <si>
    <t xml:space="preserve">Meta de design: Lâminas ao chegar no chefe</t>
  </si>
  <si>
    <t xml:space="preserve">12 a 14</t>
  </si>
  <si>
    <t xml:space="preserve">Curva de XP da proficiência e ritmo de abates</t>
  </si>
  <si>
    <t xml:space="preserve">Abates = XP para o próximo nível ÷ XP de um monstro normal do mesmo nível. Champions e únicos reduzem bastante esse número.</t>
  </si>
  <si>
    <t xml:space="preserve">Nível</t>
  </si>
  <si>
    <t xml:space="preserve">Curva: XP total no nível</t>
  </si>
  <si>
    <t xml:space="preserve">Curva: XP para o próximo</t>
  </si>
  <si>
    <t xml:space="preserve">Com escala: XP total no nível</t>
  </si>
  <si>
    <t xml:space="preserve">Com escala: XP para o próximo</t>
  </si>
  <si>
    <t xml:space="preserve">XP monstro normal (mesmo nível)</t>
  </si>
  <si>
    <t xml:space="preserve">Abates para subir (curva)</t>
  </si>
  <si>
    <t xml:space="preserve">Abates para subir (com escala)</t>
  </si>
  <si>
    <t xml:space="preserve">XP champion (nível +2)</t>
  </si>
  <si>
    <t xml:space="preserve">XP único (nível +3)</t>
  </si>
  <si>
    <t xml:space="preserve">XP minion (nível +3)</t>
  </si>
  <si>
    <t xml:space="preserve">Monstros por nível (Normal)</t>
  </si>
  <si>
    <t xml:space="preserve">Vida e dano em % do monstro-base de cada tipo (cada espécie tem sua vida e dano base; o nível multiplica). XP já inclui o Exp% médio.</t>
  </si>
  <si>
    <t xml:space="preserve">Nível monstro</t>
  </si>
  <si>
    <t xml:space="preserve">Vida % (normal)</t>
  </si>
  <si>
    <t xml:space="preserve">Dano % (normal)</t>
  </si>
  <si>
    <t xml:space="preserve">XP normal</t>
  </si>
  <si>
    <t xml:space="preserve">Vida % champion</t>
  </si>
  <si>
    <t xml:space="preserve">XP champion</t>
  </si>
  <si>
    <t xml:space="preserve">Vida % único</t>
  </si>
  <si>
    <t xml:space="preserve">XP único</t>
  </si>
  <si>
    <t xml:space="preserve">Vida % minion</t>
  </si>
  <si>
    <t xml:space="preserve">XP minion</t>
  </si>
  <si>
    <t xml:space="preserve">Fator de XP pela diferença de nível</t>
  </si>
  <si>
    <t xml:space="preserve">Δ = nível do monstro − nível da proficiência. Fonte: classic.battle.net/diablo2exp/basics/experience.shtml (tabela para personagens abaixo do nível 25)</t>
  </si>
  <si>
    <t xml:space="preserve">Δ</t>
  </si>
  <si>
    <t xml:space="preserve">Fator</t>
  </si>
  <si>
    <t xml:space="preserve">Leitura</t>
  </si>
  <si>
    <t xml:space="preserve">Monstro trivial (piso)</t>
  </si>
  <si>
    <t xml:space="preserve">Monstro bem mais fraco</t>
  </si>
  <si>
    <t xml:space="preserve">Faixa cheia (±5)</t>
  </si>
  <si>
    <t xml:space="preserve">Monstro bem mais forte</t>
  </si>
  <si>
    <t xml:space="preserve">Teto: monstro alto demais</t>
  </si>
  <si>
    <t xml:space="preserve">Fora de −10..+10 vale o valor da ponta. Isso desestimula tanto farmar monstros fracos quanto ser "puxado" por monstros muito acima.</t>
  </si>
  <si>
    <t xml:space="preserve">Curvas próprias: a × n^p × g^n</t>
  </si>
  <si>
    <t xml:space="preserve">Mesmos valores de src/aethelgard/data/curves.json. Mude a, p ou g e todo o resto recalcula.</t>
  </si>
  <si>
    <t xml:space="preserve">Curva</t>
  </si>
  <si>
    <t xml:space="preserve">a</t>
  </si>
  <si>
    <t xml:space="preserve">p</t>
  </si>
  <si>
    <t xml:space="preserve">g</t>
  </si>
  <si>
    <t xml:space="preserve">Observação</t>
  </si>
  <si>
    <t xml:space="preserve">XP da proficiência para o próximo nível</t>
  </si>
  <si>
    <t xml:space="preserve">Arredondado para múltiplos de 10.</t>
  </si>
  <si>
    <t xml:space="preserve">XP do monstro (antes do Exp% do tipo)</t>
  </si>
  <si>
    <t xml:space="preserve">Vida do monstro (% da base do tipo)</t>
  </si>
  <si>
    <t xml:space="preserve">Dano do monstro (% da base do tipo)</t>
  </si>
  <si>
    <t xml:space="preserve">Precisão do monstro</t>
  </si>
  <si>
    <t xml:space="preserve">Defesa do monstro por nível</t>
  </si>
  <si>
    <t xml:space="preserve">XP total para chegar ao nível seguinte</t>
  </si>
  <si>
    <t xml:space="preserve">Monstro: Vida %</t>
  </si>
  <si>
    <t xml:space="preserve">Monstro: Dano %</t>
  </si>
  <si>
    <t xml:space="preserve">Monstro: Defesa</t>
  </si>
  <si>
    <t xml:space="preserve">Monstro: Precisão</t>
  </si>
  <si>
    <t xml:space="preserve">Monstro: XP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</si>
</sst>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%"/>
    <numFmt numFmtId="167" formatCode="0"/>
    <numFmt numFmtId="168" formatCode="\+0;\-0;0"/>
    <numFmt numFmtId="169" formatCode="0.0\×"/>
    <numFmt numFmtId="170" formatCode="\+0%;\-0%;0%"/>
    <numFmt numFmtId="171" formatCode="0.0"/>
    <numFmt numFmtId="172" formatCode="#,##0"/>
    <numFmt numFmtId="173" formatCode="#,##0.0"/>
    <numFmt numFmtId="174" formatCode="0.0000"/>
    <numFmt numFmtId="175" formatCode="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7A1F1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A1F1F"/>
        <bgColor rgb="FF800000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7A1F1F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Abates de monstros normais para subir de nível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Curva!G4</c:f>
              <c:strCache>
                <c:ptCount val="1"/>
                <c:pt idx="0">
                  <c:v>Abates para subir (curva)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Curva!$A$5:$A$34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Curva!$G$5:$G$34</c:f>
              <c:numCache>
                <c:formatCode>#,##0</c:formatCode>
                <c:ptCount val="30"/>
                <c:pt idx="0">
                  <c:v>13.0208333333333</c:v>
                </c:pt>
                <c:pt idx="1">
                  <c:v>18.6154741128563</c:v>
                </c:pt>
                <c:pt idx="2">
                  <c:v>23.6167341430499</c:v>
                </c:pt>
                <c:pt idx="3">
                  <c:v>29.0256979108893</c:v>
                </c:pt>
                <c:pt idx="4">
                  <c:v>34.8399246704332</c:v>
                </c:pt>
                <c:pt idx="5">
                  <c:v>41.0716714266286</c:v>
                </c:pt>
                <c:pt idx="6">
                  <c:v>47.9607702427939</c:v>
                </c:pt>
                <c:pt idx="7">
                  <c:v>55.6617803271723</c:v>
                </c:pt>
                <c:pt idx="8">
                  <c:v>64.1573994867408</c:v>
                </c:pt>
                <c:pt idx="9">
                  <c:v>73.6742910991176</c:v>
                </c:pt>
                <c:pt idx="10">
                  <c:v>84.3420235878337</c:v>
                </c:pt>
                <c:pt idx="11">
                  <c:v>96.1552028218695</c:v>
                </c:pt>
                <c:pt idx="12">
                  <c:v>109.437363203296</c:v>
                </c:pt>
                <c:pt idx="13">
                  <c:v>124.248851184164</c:v>
                </c:pt>
                <c:pt idx="14">
                  <c:v>140.794809407948</c:v>
                </c:pt>
                <c:pt idx="15">
                  <c:v>159.405152690739</c:v>
                </c:pt>
                <c:pt idx="16">
                  <c:v>180.14301430143</c:v>
                </c:pt>
                <c:pt idx="17">
                  <c:v>203.308792417703</c:v>
                </c:pt>
                <c:pt idx="18">
                  <c:v>229.225352112676</c:v>
                </c:pt>
                <c:pt idx="19">
                  <c:v>258.196572836286</c:v>
                </c:pt>
                <c:pt idx="20">
                  <c:v>290.608625554212</c:v>
                </c:pt>
                <c:pt idx="21">
                  <c:v>326.755206384836</c:v>
                </c:pt>
                <c:pt idx="22">
                  <c:v>367.164870814506</c:v>
                </c:pt>
                <c:pt idx="23">
                  <c:v>412.35585731221</c:v>
                </c:pt>
                <c:pt idx="24">
                  <c:v>462.674590636676</c:v>
                </c:pt>
                <c:pt idx="25">
                  <c:v>518.970189701897</c:v>
                </c:pt>
                <c:pt idx="26">
                  <c:v>581.80313228343</c:v>
                </c:pt>
                <c:pt idx="27">
                  <c:v>651.952116740849</c:v>
                </c:pt>
                <c:pt idx="28">
                  <c:v>730.172282938676</c:v>
                </c:pt>
                <c:pt idx="29">
                  <c:v>817.426135658709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Curva!H4</c:f>
              <c:strCache>
                <c:ptCount val="1"/>
                <c:pt idx="0">
                  <c:v>Abates para subir (com escala)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Curva!$A$5:$A$34</c:f>
              <c:strCach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strCache>
            </c:strRef>
          </c:cat>
          <c:val>
            <c:numRef>
              <c:f>Curva!$H$5:$H$34</c:f>
              <c:numCache>
                <c:formatCode>#,##0</c:formatCode>
                <c:ptCount val="30"/>
                <c:pt idx="0">
                  <c:v>13.0208333333333</c:v>
                </c:pt>
                <c:pt idx="1">
                  <c:v>18.6154741128563</c:v>
                </c:pt>
                <c:pt idx="2">
                  <c:v>23.6167341430499</c:v>
                </c:pt>
                <c:pt idx="3">
                  <c:v>29.0256979108893</c:v>
                </c:pt>
                <c:pt idx="4">
                  <c:v>34.8399246704332</c:v>
                </c:pt>
                <c:pt idx="5">
                  <c:v>41.0716714266286</c:v>
                </c:pt>
                <c:pt idx="6">
                  <c:v>47.9607702427939</c:v>
                </c:pt>
                <c:pt idx="7">
                  <c:v>55.6617803271723</c:v>
                </c:pt>
                <c:pt idx="8">
                  <c:v>64.1573994867408</c:v>
                </c:pt>
                <c:pt idx="9">
                  <c:v>73.6742910991176</c:v>
                </c:pt>
                <c:pt idx="10">
                  <c:v>84.3420235878337</c:v>
                </c:pt>
                <c:pt idx="11">
                  <c:v>96.1552028218695</c:v>
                </c:pt>
                <c:pt idx="12">
                  <c:v>109.437363203296</c:v>
                </c:pt>
                <c:pt idx="13">
                  <c:v>124.248851184164</c:v>
                </c:pt>
                <c:pt idx="14">
                  <c:v>140.794809407948</c:v>
                </c:pt>
                <c:pt idx="15">
                  <c:v>159.405152690739</c:v>
                </c:pt>
                <c:pt idx="16">
                  <c:v>180.14301430143</c:v>
                </c:pt>
                <c:pt idx="17">
                  <c:v>203.308792417703</c:v>
                </c:pt>
                <c:pt idx="18">
                  <c:v>229.225352112676</c:v>
                </c:pt>
                <c:pt idx="19">
                  <c:v>258.196572836286</c:v>
                </c:pt>
                <c:pt idx="20">
                  <c:v>290.608625554212</c:v>
                </c:pt>
                <c:pt idx="21">
                  <c:v>326.755206384836</c:v>
                </c:pt>
                <c:pt idx="22">
                  <c:v>367.164870814506</c:v>
                </c:pt>
                <c:pt idx="23">
                  <c:v>412.35585731221</c:v>
                </c:pt>
                <c:pt idx="24">
                  <c:v>462.674590636676</c:v>
                </c:pt>
                <c:pt idx="25">
                  <c:v>518.970189701897</c:v>
                </c:pt>
                <c:pt idx="26">
                  <c:v>581.80313228343</c:v>
                </c:pt>
                <c:pt idx="27">
                  <c:v>651.952116740849</c:v>
                </c:pt>
                <c:pt idx="28">
                  <c:v>730.172282938676</c:v>
                </c:pt>
                <c:pt idx="29">
                  <c:v>817.426135658709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8640320"/>
        <c:axId val="40177501"/>
      </c:lineChart>
      <c:catAx>
        <c:axId val="38640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Nível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77501"/>
        <c:crosses val="autoZero"/>
        <c:auto val="1"/>
        <c:lblAlgn val="ctr"/>
        <c:lblOffset val="100"/>
        <c:noMultiLvlLbl val="0"/>
      </c:catAx>
      <c:valAx>
        <c:axId val="401775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Abates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6403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12</xdr:col>
      <xdr:colOff>0</xdr:colOff>
      <xdr:row>2</xdr:row>
      <xdr:rowOff>160920</xdr:rowOff>
    </xdr:from>
    <xdr:to>
      <xdr:col>22</xdr:col>
      <xdr:colOff>364680</xdr:colOff>
      <xdr:row>18</xdr:row>
      <xdr:rowOff>142920</xdr:rowOff>
    </xdr:to>
    <xdr:graphicFrame>
      <xdr:nvGraphicFramePr>
        <xdr:cNvPr id="0" name="Chart 1"/>
        <xdr:cNvGraphicFramePr/>
      </xdr:nvGraphicFramePr>
      <xdr:xfrm>
        <a:off x="1174824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6" min="4" style="0" width="13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22</v>
      </c>
    </row>
    <row r="2" customFormat="false" ht="15" hidden="false" customHeight="false" outlineLevel="0" collapsed="false">
      <c r="A2" s="3" t="s">
        <v>23</v>
      </c>
    </row>
    <row r="4" customFormat="false" ht="31.5" hidden="false" customHeight="true" outlineLevel="0" collapsed="false">
      <c r="A4" s="4" t="s">
        <v>24</v>
      </c>
      <c r="B4" s="4" t="s">
        <v>25</v>
      </c>
      <c r="C4" s="4" t="s">
        <v>26</v>
      </c>
    </row>
    <row r="5" customFormat="false" ht="15" hidden="false" customHeight="false" outlineLevel="0" collapsed="false">
      <c r="A5" s="5" t="s">
        <v>27</v>
      </c>
      <c r="B5" s="6" t="n">
        <v>1</v>
      </c>
      <c r="C5" s="7" t="s">
        <v>28</v>
      </c>
    </row>
    <row r="6" customFormat="false" ht="15" hidden="false" customHeight="false" outlineLevel="0" collapsed="false">
      <c r="A6" s="5" t="s">
        <v>29</v>
      </c>
      <c r="B6" s="8" t="n">
        <v>0.9</v>
      </c>
      <c r="C6" s="7" t="s">
        <v>30</v>
      </c>
    </row>
    <row r="7" customFormat="false" ht="15" hidden="false" customHeight="false" outlineLevel="0" collapsed="false">
      <c r="A7" s="5" t="s">
        <v>31</v>
      </c>
      <c r="B7" s="8" t="n">
        <v>0.85</v>
      </c>
      <c r="C7" s="7" t="s">
        <v>32</v>
      </c>
    </row>
    <row r="8" customFormat="false" ht="15" hidden="false" customHeight="false" outlineLevel="0" collapsed="false">
      <c r="A8" s="5" t="s">
        <v>33</v>
      </c>
      <c r="B8" s="8" t="n">
        <v>0.3</v>
      </c>
      <c r="C8" s="7" t="s">
        <v>34</v>
      </c>
    </row>
    <row r="9" customFormat="false" ht="15" hidden="false" customHeight="false" outlineLevel="0" collapsed="false">
      <c r="A9" s="5" t="s">
        <v>35</v>
      </c>
      <c r="B9" s="8" t="n">
        <v>0.15</v>
      </c>
      <c r="C9" s="7" t="s">
        <v>36</v>
      </c>
    </row>
    <row r="10" customFormat="false" ht="15" hidden="false" customHeight="false" outlineLevel="0" collapsed="false">
      <c r="A10" s="5" t="s">
        <v>37</v>
      </c>
      <c r="B10" s="6" t="n">
        <v>0.1</v>
      </c>
      <c r="C10" s="7" t="s">
        <v>38</v>
      </c>
    </row>
    <row r="11" customFormat="false" ht="15" hidden="false" customHeight="false" outlineLevel="0" collapsed="false">
      <c r="A11" s="5" t="s">
        <v>39</v>
      </c>
      <c r="B11" s="6" t="n">
        <v>0.75</v>
      </c>
      <c r="C11" s="7" t="s">
        <v>40</v>
      </c>
    </row>
    <row r="12" customFormat="false" ht="15" hidden="false" customHeight="false" outlineLevel="0" collapsed="false">
      <c r="A12" s="5" t="s">
        <v>41</v>
      </c>
      <c r="B12" s="9" t="n">
        <v>30</v>
      </c>
      <c r="C12" s="7" t="s">
        <v>42</v>
      </c>
    </row>
    <row r="14" customFormat="false" ht="15" hidden="false" customHeight="false" outlineLevel="0" collapsed="false">
      <c r="A14" s="10" t="s">
        <v>43</v>
      </c>
    </row>
    <row r="15" customFormat="false" ht="31.5" hidden="false" customHeight="true" outlineLevel="0" collapsed="false">
      <c r="A15" s="4" t="s">
        <v>44</v>
      </c>
      <c r="B15" s="4" t="s">
        <v>45</v>
      </c>
      <c r="C15" s="4" t="s">
        <v>46</v>
      </c>
      <c r="D15" s="4" t="s">
        <v>47</v>
      </c>
      <c r="E15" s="4" t="s">
        <v>48</v>
      </c>
      <c r="F15" s="4" t="s">
        <v>49</v>
      </c>
      <c r="G15" s="4" t="s">
        <v>26</v>
      </c>
    </row>
    <row r="16" customFormat="false" ht="15" hidden="false" customHeight="false" outlineLevel="0" collapsed="false">
      <c r="A16" s="5" t="s">
        <v>50</v>
      </c>
      <c r="B16" s="11" t="n">
        <v>0</v>
      </c>
      <c r="C16" s="12" t="n">
        <v>1</v>
      </c>
      <c r="D16" s="12" t="n">
        <v>1</v>
      </c>
      <c r="E16" s="13" t="n">
        <v>0</v>
      </c>
      <c r="F16" s="13" t="n">
        <v>0</v>
      </c>
      <c r="G16" s="7" t="s">
        <v>51</v>
      </c>
    </row>
    <row r="17" customFormat="false" ht="15" hidden="false" customHeight="false" outlineLevel="0" collapsed="false">
      <c r="A17" s="5" t="s">
        <v>52</v>
      </c>
      <c r="B17" s="11" t="n">
        <v>2</v>
      </c>
      <c r="C17" s="12" t="n">
        <v>3</v>
      </c>
      <c r="D17" s="12" t="n">
        <v>3</v>
      </c>
      <c r="E17" s="13" t="n">
        <v>0.9</v>
      </c>
      <c r="F17" s="13" t="n">
        <v>0.67</v>
      </c>
      <c r="G17" s="7" t="s">
        <v>53</v>
      </c>
    </row>
    <row r="18" customFormat="false" ht="15" hidden="false" customHeight="false" outlineLevel="0" collapsed="false">
      <c r="A18" s="5" t="s">
        <v>54</v>
      </c>
      <c r="B18" s="11" t="n">
        <v>2</v>
      </c>
      <c r="C18" s="12" t="n">
        <v>3</v>
      </c>
      <c r="D18" s="12" t="n">
        <v>5</v>
      </c>
      <c r="E18" s="13" t="n">
        <v>2.7</v>
      </c>
      <c r="F18" s="13" t="n">
        <v>2.7</v>
      </c>
      <c r="G18" s="7" t="s">
        <v>55</v>
      </c>
    </row>
    <row r="19" customFormat="false" ht="15" hidden="false" customHeight="false" outlineLevel="0" collapsed="false">
      <c r="A19" s="5" t="s">
        <v>56</v>
      </c>
      <c r="B19" s="11" t="n">
        <v>3</v>
      </c>
      <c r="C19" s="12" t="n">
        <v>4</v>
      </c>
      <c r="D19" s="12" t="n">
        <v>5</v>
      </c>
      <c r="E19" s="13" t="n">
        <v>0</v>
      </c>
      <c r="F19" s="13" t="n">
        <v>0</v>
      </c>
      <c r="G19" s="7" t="s">
        <v>57</v>
      </c>
    </row>
    <row r="20" customFormat="false" ht="15" hidden="false" customHeight="false" outlineLevel="0" collapsed="false">
      <c r="A20" s="5" t="s">
        <v>58</v>
      </c>
      <c r="B20" s="11" t="n">
        <v>3</v>
      </c>
      <c r="C20" s="12" t="n">
        <v>2</v>
      </c>
      <c r="D20" s="12" t="n">
        <v>5</v>
      </c>
      <c r="E20" s="13" t="n">
        <v>0</v>
      </c>
      <c r="F20" s="13" t="n">
        <v>0</v>
      </c>
      <c r="G20" s="7" t="s">
        <v>59</v>
      </c>
    </row>
    <row r="21" customFormat="false" ht="15" hidden="false" customHeight="false" outlineLevel="0" collapsed="false">
      <c r="A21" s="5" t="s">
        <v>60</v>
      </c>
      <c r="B21" s="11" t="n">
        <v>0</v>
      </c>
      <c r="C21" s="12" t="n">
        <v>1</v>
      </c>
      <c r="D21" s="12" t="n">
        <v>15</v>
      </c>
      <c r="E21" s="13" t="n">
        <v>0</v>
      </c>
      <c r="F21" s="13" t="n">
        <v>0</v>
      </c>
      <c r="G21" s="7" t="s">
        <v>61</v>
      </c>
    </row>
    <row r="23" customFormat="false" ht="15" hidden="false" customHeight="false" outlineLevel="0" collapsed="false">
      <c r="A23" s="10" t="s">
        <v>62</v>
      </c>
    </row>
    <row r="24" customFormat="false" ht="31.5" hidden="false" customHeight="true" outlineLevel="0" collapsed="false">
      <c r="A24" s="4" t="s">
        <v>24</v>
      </c>
      <c r="B24" s="4" t="s">
        <v>25</v>
      </c>
      <c r="C24" s="4" t="s">
        <v>26</v>
      </c>
    </row>
    <row r="25" customFormat="false" ht="15" hidden="false" customHeight="false" outlineLevel="0" collapsed="false">
      <c r="A25" s="5" t="s">
        <v>63</v>
      </c>
      <c r="B25" s="14" t="n">
        <v>1.5</v>
      </c>
      <c r="C25" s="7" t="s">
        <v>64</v>
      </c>
    </row>
    <row r="26" customFormat="false" ht="15" hidden="false" customHeight="false" outlineLevel="0" collapsed="false">
      <c r="A26" s="5" t="s">
        <v>65</v>
      </c>
      <c r="B26" s="8" t="n">
        <v>0.8</v>
      </c>
      <c r="C26" s="7" t="s">
        <v>66</v>
      </c>
    </row>
    <row r="27" customFormat="false" ht="15" hidden="false" customHeight="false" outlineLevel="0" collapsed="false">
      <c r="A27" s="5" t="s">
        <v>67</v>
      </c>
      <c r="B27" s="14" t="n">
        <v>3</v>
      </c>
      <c r="C27" s="7" t="s">
        <v>68</v>
      </c>
    </row>
    <row r="28" customFormat="false" ht="15" hidden="false" customHeight="false" outlineLevel="0" collapsed="false">
      <c r="A28" s="5" t="s">
        <v>69</v>
      </c>
      <c r="B28" s="14" t="n">
        <v>4.5</v>
      </c>
      <c r="C28" s="7" t="s">
        <v>70</v>
      </c>
    </row>
    <row r="29" customFormat="false" ht="15" hidden="false" customHeight="false" outlineLevel="0" collapsed="false">
      <c r="A29" s="5" t="s">
        <v>71</v>
      </c>
      <c r="B29" s="14" t="n">
        <v>4</v>
      </c>
      <c r="C29" s="7" t="s">
        <v>72</v>
      </c>
    </row>
    <row r="30" customFormat="false" ht="15" hidden="false" customHeight="false" outlineLevel="0" collapsed="false">
      <c r="A30" s="5" t="s">
        <v>73</v>
      </c>
      <c r="B30" s="9" t="n">
        <v>22</v>
      </c>
      <c r="C30" s="7" t="s">
        <v>74</v>
      </c>
    </row>
    <row r="31" customFormat="false" ht="15" hidden="false" customHeight="false" outlineLevel="0" collapsed="false">
      <c r="A31" s="5" t="s">
        <v>75</v>
      </c>
      <c r="B31" s="9" t="n">
        <v>16</v>
      </c>
      <c r="C31" s="7" t="s">
        <v>76</v>
      </c>
    </row>
    <row r="32" customFormat="false" ht="15" hidden="false" customHeight="false" outlineLevel="0" collapsed="false">
      <c r="A32" s="5" t="s">
        <v>77</v>
      </c>
      <c r="B32" s="9" t="n">
        <v>12</v>
      </c>
      <c r="C32" s="7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"/>
    <col collapsed="false" customWidth="true" hidden="false" outlineLevel="0" max="22" min="3" style="0" width="12"/>
  </cols>
  <sheetData>
    <row r="1" customFormat="false" ht="17.35" hidden="false" customHeight="false" outlineLevel="0" collapsed="false">
      <c r="A1" s="1" t="s">
        <v>79</v>
      </c>
    </row>
    <row r="2" customFormat="false" ht="15" hidden="false" customHeight="false" outlineLevel="0" collapsed="false">
      <c r="A2" s="3" t="s">
        <v>80</v>
      </c>
    </row>
    <row r="4" customFormat="false" ht="45" hidden="false" customHeight="true" outlineLevel="0" collapsed="false">
      <c r="A4" s="4" t="s">
        <v>81</v>
      </c>
      <c r="B4" s="4" t="s">
        <v>44</v>
      </c>
      <c r="C4" s="4" t="s">
        <v>82</v>
      </c>
      <c r="D4" s="4" t="s">
        <v>83</v>
      </c>
      <c r="E4" s="4" t="s">
        <v>84</v>
      </c>
      <c r="F4" s="4" t="s">
        <v>85</v>
      </c>
      <c r="G4" s="4" t="s">
        <v>86</v>
      </c>
      <c r="H4" s="4" t="s">
        <v>87</v>
      </c>
      <c r="I4" s="4" t="s">
        <v>88</v>
      </c>
      <c r="J4" s="4" t="s">
        <v>89</v>
      </c>
      <c r="K4" s="4" t="s">
        <v>90</v>
      </c>
      <c r="L4" s="4" t="s">
        <v>91</v>
      </c>
      <c r="M4" s="4" t="s">
        <v>92</v>
      </c>
      <c r="N4" s="4" t="s">
        <v>93</v>
      </c>
      <c r="O4" s="4" t="s">
        <v>94</v>
      </c>
      <c r="P4" s="4" t="s">
        <v>95</v>
      </c>
      <c r="Q4" s="4" t="s">
        <v>96</v>
      </c>
      <c r="R4" s="4" t="s">
        <v>97</v>
      </c>
      <c r="S4" s="4" t="s">
        <v>98</v>
      </c>
      <c r="T4" s="4" t="s">
        <v>99</v>
      </c>
      <c r="U4" s="4" t="s">
        <v>100</v>
      </c>
      <c r="V4" s="4" t="s">
        <v>101</v>
      </c>
    </row>
    <row r="5" customFormat="false" ht="15" hidden="false" customHeight="false" outlineLevel="0" collapsed="false">
      <c r="A5" s="15" t="s">
        <v>102</v>
      </c>
      <c r="B5" s="15" t="s">
        <v>103</v>
      </c>
      <c r="C5" s="9" t="n">
        <v>2</v>
      </c>
      <c r="D5" s="16" t="n">
        <f aca="false">IF(B5="Aberta",Parâmetros!$B$30,Parâmetros!$B$31)*Parâmetros!$B$29</f>
        <v>88</v>
      </c>
      <c r="E5" s="17" t="n">
        <f aca="false">Parâmetros!$B$25</f>
        <v>1.5</v>
      </c>
      <c r="F5" s="18" t="n">
        <f aca="false">MIN(Parâmetros!$B$12,MATCH(0,Curva!$D$5:$D$44,1))</f>
        <v>1</v>
      </c>
      <c r="G5" s="16" t="n">
        <f aca="false">D5*INDEX(Curvas!$G$14:$G$112,MATCH(C5,Curvas!$A$14:$A$112,0))*Parâmetros!$B$6*INDEX('Fator Nível'!$B$5:$B$25,MATCH(MAX(-10,MIN(10,C5-F5)),'Fator Nível'!$A$5:$A$25,0))</f>
        <v>3025.44</v>
      </c>
      <c r="H5" s="16" t="n">
        <f aca="false">E5*Parâmetros!$B$26*(INDEX(Curvas!$G$14:$G$112,MATCH(C5+Parâmetros!$B$19,Curvas!$A$14:$A$112,0))*Parâmetros!$B$6*Parâmetros!$D$19*INDEX('Fator Nível'!$B$5:$B$25,MATCH(MAX(-10,MIN(10,C5+Parâmetros!$B$19-F5)),'Fator Nível'!$A$5:$A$25,0))+Parâmetros!$B$28*INDEX(Curvas!$G$14:$G$112,MATCH(C5+Parâmetros!$B$20,Curvas!$A$14:$A$112,0))*Parâmetros!$B$6*Parâmetros!$D$20*INDEX('Fator Nível'!$B$5:$B$25,MATCH(MAX(-10,MIN(10,C5+Parâmetros!$B$20-F5)),'Fator Nível'!$A$5:$A$25,0)))</f>
        <v>2102.76</v>
      </c>
      <c r="I5" s="16" t="n">
        <f aca="false">E5*(1-Parâmetros!$B$26)*Parâmetros!$B$27*INDEX(Curvas!$G$14:$G$112,MATCH(C5+Parâmetros!$B$17,Curvas!$A$14:$A$112,0))*Parâmetros!$B$6*Parâmetros!$D$17*INDEX('Fator Nível'!$B$5:$B$25,MATCH(MAX(-10,MIN(10,C5+Parâmetros!$B$17-F5)),'Fator Nível'!$A$5:$A$25,0))</f>
        <v>146.043</v>
      </c>
      <c r="J5" s="16" t="n">
        <f aca="false">G5+H5+I5</f>
        <v>5274.243</v>
      </c>
      <c r="K5" s="16" t="n">
        <f aca="false">J5*Parâmetros!$B$7</f>
        <v>4483.10655</v>
      </c>
      <c r="L5" s="16" t="n">
        <f aca="false">0+K5</f>
        <v>4483.10655</v>
      </c>
      <c r="M5" s="19" t="n">
        <f aca="false">MIN(Parâmetros!$B$12,MATCH(L5,Curva!$D$5:$D$44,1))</f>
        <v>5</v>
      </c>
      <c r="N5" s="18" t="n">
        <f aca="false">MIN(Parâmetros!$B$12,MATCH(0,Curva!$D$5:$D$44,1))</f>
        <v>1</v>
      </c>
      <c r="O5" s="16" t="n">
        <f aca="false">IF(F5=0,0,J5*Parâmetros!$B$8*INDEX('Fator Nível'!$B$5:$B$25,MATCH(MAX(-10,MIN(10,C5-N5)),'Fator Nível'!$A$5:$A$25,0))/INDEX('Fator Nível'!$B$5:$B$25,MATCH(MAX(-10,MIN(10,C5-F5)),'Fator Nível'!$A$5:$A$25,0)))</f>
        <v>1582.2729</v>
      </c>
      <c r="P5" s="16" t="n">
        <f aca="false">0+O5</f>
        <v>1582.2729</v>
      </c>
      <c r="Q5" s="19" t="n">
        <f aca="false">MIN(Parâmetros!$B$12,MATCH(P5,Curva!$D$5:$D$44,1))</f>
        <v>3</v>
      </c>
      <c r="R5" s="18" t="n">
        <f aca="false">MIN(Parâmetros!$B$12,MATCH(0,Curva!$D$5:$D$44,1))</f>
        <v>1</v>
      </c>
      <c r="S5" s="16" t="n">
        <f aca="false">IF(F5=0,0,J5*Parâmetros!$B$9*INDEX('Fator Nível'!$B$5:$B$25,MATCH(MAX(-10,MIN(10,C5-R5)),'Fator Nível'!$A$5:$A$25,0))/INDEX('Fator Nível'!$B$5:$B$25,MATCH(MAX(-10,MIN(10,C5-F5)),'Fator Nível'!$A$5:$A$25,0)))</f>
        <v>791.13645</v>
      </c>
      <c r="T5" s="16" t="n">
        <f aca="false">0+S5</f>
        <v>791.13645</v>
      </c>
      <c r="U5" s="19" t="n">
        <f aca="false">MIN(Parâmetros!$B$12,MATCH(T5,Curva!$D$5:$D$44,1))</f>
        <v>2</v>
      </c>
      <c r="V5" s="19" t="n">
        <f aca="false">MAX(M5,Q5,U5)+INT(0.25*(M5+Q5+U5-MAX(M5,Q5,U5)))</f>
        <v>6</v>
      </c>
    </row>
    <row r="6" customFormat="false" ht="15" hidden="false" customHeight="false" outlineLevel="0" collapsed="false">
      <c r="A6" s="15" t="s">
        <v>104</v>
      </c>
      <c r="B6" s="15" t="s">
        <v>105</v>
      </c>
      <c r="C6" s="9" t="n">
        <v>3</v>
      </c>
      <c r="D6" s="16" t="n">
        <f aca="false">IF(B6="Aberta",Parâmetros!$B$30,Parâmetros!$B$31)*Parâmetros!$B$29</f>
        <v>64</v>
      </c>
      <c r="E6" s="17" t="n">
        <f aca="false">Parâmetros!$B$25</f>
        <v>1.5</v>
      </c>
      <c r="F6" s="18" t="n">
        <f aca="false">MIN(Parâmetros!$B$12,MATCH(L5,Curva!$D$5:$D$44,1))</f>
        <v>5</v>
      </c>
      <c r="G6" s="16" t="n">
        <f aca="false">D6*INDEX(Curvas!$G$14:$G$112,MATCH(C6,Curvas!$A$14:$A$112,0))*Parâmetros!$B$6*INDEX('Fator Nível'!$B$5:$B$25,MATCH(MAX(-10,MIN(10,C6-F6)),'Fator Nível'!$A$5:$A$25,0))</f>
        <v>2845.44</v>
      </c>
      <c r="H6" s="16" t="n">
        <f aca="false">E6*Parâmetros!$B$26*(INDEX(Curvas!$G$14:$G$112,MATCH(C6+Parâmetros!$B$19,Curvas!$A$14:$A$112,0))*Parâmetros!$B$6*Parâmetros!$D$19*INDEX('Fator Nível'!$B$5:$B$25,MATCH(MAX(-10,MIN(10,C6+Parâmetros!$B$19-F6)),'Fator Nível'!$A$5:$A$25,0))+Parâmetros!$B$28*INDEX(Curvas!$G$14:$G$112,MATCH(C6+Parâmetros!$B$20,Curvas!$A$14:$A$112,0))*Parâmetros!$B$6*Parâmetros!$D$20*INDEX('Fator Nível'!$B$5:$B$25,MATCH(MAX(-10,MIN(10,C6+Parâmetros!$B$20-F6)),'Fator Nível'!$A$5:$A$25,0)))</f>
        <v>2426.49</v>
      </c>
      <c r="I6" s="16" t="n">
        <f aca="false">E6*(1-Parâmetros!$B$26)*Parâmetros!$B$27*INDEX(Curvas!$G$14:$G$112,MATCH(C6+Parâmetros!$B$17,Curvas!$A$14:$A$112,0))*Parâmetros!$B$6*Parâmetros!$D$17*INDEX('Fator Nível'!$B$5:$B$25,MATCH(MAX(-10,MIN(10,C6+Parâmetros!$B$17-F6)),'Fator Nível'!$A$5:$A$25,0))</f>
        <v>172.044</v>
      </c>
      <c r="J6" s="16" t="n">
        <f aca="false">G6+H6+I6</f>
        <v>5443.974</v>
      </c>
      <c r="K6" s="16" t="n">
        <f aca="false">J6*Parâmetros!$B$7</f>
        <v>4627.3779</v>
      </c>
      <c r="L6" s="16" t="n">
        <f aca="false">L5+K6</f>
        <v>9110.48445</v>
      </c>
      <c r="M6" s="19" t="n">
        <f aca="false">MIN(Parâmetros!$B$12,MATCH(L6,Curva!$D$5:$D$44,1))</f>
        <v>7</v>
      </c>
      <c r="N6" s="18" t="n">
        <f aca="false">MIN(Parâmetros!$B$12,MATCH(P5,Curva!$D$5:$D$44,1))</f>
        <v>3</v>
      </c>
      <c r="O6" s="16" t="n">
        <f aca="false">IF(F6=0,0,J6*Parâmetros!$B$8*INDEX('Fator Nível'!$B$5:$B$25,MATCH(MAX(-10,MIN(10,C6-N6)),'Fator Nível'!$A$5:$A$25,0))/INDEX('Fator Nível'!$B$5:$B$25,MATCH(MAX(-10,MIN(10,C6-F6)),'Fator Nível'!$A$5:$A$25,0)))</f>
        <v>1633.1922</v>
      </c>
      <c r="P6" s="16" t="n">
        <f aca="false">P5+O6</f>
        <v>3215.4651</v>
      </c>
      <c r="Q6" s="19" t="n">
        <f aca="false">MIN(Parâmetros!$B$12,MATCH(P6,Curva!$D$5:$D$44,1))</f>
        <v>4</v>
      </c>
      <c r="R6" s="18" t="n">
        <f aca="false">MIN(Parâmetros!$B$12,MATCH(T5,Curva!$D$5:$D$44,1))</f>
        <v>2</v>
      </c>
      <c r="S6" s="16" t="n">
        <f aca="false">IF(F6=0,0,J6*Parâmetros!$B$9*INDEX('Fator Nível'!$B$5:$B$25,MATCH(MAX(-10,MIN(10,C6-R6)),'Fator Nível'!$A$5:$A$25,0))/INDEX('Fator Nível'!$B$5:$B$25,MATCH(MAX(-10,MIN(10,C6-F6)),'Fator Nível'!$A$5:$A$25,0)))</f>
        <v>816.5961</v>
      </c>
      <c r="T6" s="16" t="n">
        <f aca="false">T5+S6</f>
        <v>1607.73255</v>
      </c>
      <c r="U6" s="19" t="n">
        <f aca="false">MIN(Parâmetros!$B$12,MATCH(T6,Curva!$D$5:$D$44,1))</f>
        <v>3</v>
      </c>
      <c r="V6" s="19" t="n">
        <f aca="false">MAX(M6,Q6,U6)+INT(0.25*(M6+Q6+U6-MAX(M6,Q6,U6)))</f>
        <v>8</v>
      </c>
    </row>
    <row r="7" customFormat="false" ht="15" hidden="false" customHeight="false" outlineLevel="0" collapsed="false">
      <c r="A7" s="15" t="s">
        <v>106</v>
      </c>
      <c r="B7" s="15" t="s">
        <v>105</v>
      </c>
      <c r="C7" s="9" t="n">
        <v>4</v>
      </c>
      <c r="D7" s="16" t="n">
        <f aca="false">IF(B7="Aberta",Parâmetros!$B$30,Parâmetros!$B$31)*Parâmetros!$B$29</f>
        <v>64</v>
      </c>
      <c r="E7" s="17" t="n">
        <f aca="false">Parâmetros!$B$25</f>
        <v>1.5</v>
      </c>
      <c r="F7" s="18" t="n">
        <f aca="false">MIN(Parâmetros!$B$12,MATCH(L6,Curva!$D$5:$D$44,1))</f>
        <v>7</v>
      </c>
      <c r="G7" s="16" t="n">
        <f aca="false">D7*INDEX(Curvas!$G$14:$G$112,MATCH(C7,Curvas!$A$14:$A$112,0))*Parâmetros!$B$6*INDEX('Fator Nível'!$B$5:$B$25,MATCH(MAX(-10,MIN(10,C7-F7)),'Fator Nível'!$A$5:$A$25,0))</f>
        <v>3461.76</v>
      </c>
      <c r="H7" s="16" t="n">
        <f aca="false">E7*Parâmetros!$B$26*(INDEX(Curvas!$G$14:$G$112,MATCH(C7+Parâmetros!$B$19,Curvas!$A$14:$A$112,0))*Parâmetros!$B$6*Parâmetros!$D$19*INDEX('Fator Nível'!$B$5:$B$25,MATCH(MAX(-10,MIN(10,C7+Parâmetros!$B$19-F7)),'Fator Nível'!$A$5:$A$25,0))+Parâmetros!$B$28*INDEX(Curvas!$G$14:$G$112,MATCH(C7+Parâmetros!$B$20,Curvas!$A$14:$A$112,0))*Parâmetros!$B$6*Parâmetros!$D$20*INDEX('Fator Nível'!$B$5:$B$25,MATCH(MAX(-10,MIN(10,C7+Parâmetros!$B$20-F7)),'Fator Nível'!$A$5:$A$25,0)))</f>
        <v>2759.13</v>
      </c>
      <c r="I7" s="16" t="n">
        <f aca="false">E7*(1-Parâmetros!$B$26)*Parâmetros!$B$27*INDEX(Curvas!$G$14:$G$112,MATCH(C7+Parâmetros!$B$17,Curvas!$A$14:$A$112,0))*Parâmetros!$B$6*Parâmetros!$D$17*INDEX('Fator Nível'!$B$5:$B$25,MATCH(MAX(-10,MIN(10,C7+Parâmetros!$B$17-F7)),'Fator Nível'!$A$5:$A$25,0))</f>
        <v>198.531</v>
      </c>
      <c r="J7" s="16" t="n">
        <f aca="false">G7+H7+I7</f>
        <v>6419.421</v>
      </c>
      <c r="K7" s="16" t="n">
        <f aca="false">J7*Parâmetros!$B$7</f>
        <v>5456.50785</v>
      </c>
      <c r="L7" s="16" t="n">
        <f aca="false">L6+K7</f>
        <v>14566.9923</v>
      </c>
      <c r="M7" s="19" t="n">
        <f aca="false">MIN(Parâmetros!$B$12,MATCH(L7,Curva!$D$5:$D$44,1))</f>
        <v>8</v>
      </c>
      <c r="N7" s="18" t="n">
        <f aca="false">MIN(Parâmetros!$B$12,MATCH(P6,Curva!$D$5:$D$44,1))</f>
        <v>4</v>
      </c>
      <c r="O7" s="16" t="n">
        <f aca="false">IF(F7=0,0,J7*Parâmetros!$B$8*INDEX('Fator Nível'!$B$5:$B$25,MATCH(MAX(-10,MIN(10,C7-N7)),'Fator Nível'!$A$5:$A$25,0))/INDEX('Fator Nível'!$B$5:$B$25,MATCH(MAX(-10,MIN(10,C7-F7)),'Fator Nível'!$A$5:$A$25,0)))</f>
        <v>1925.8263</v>
      </c>
      <c r="P7" s="16" t="n">
        <f aca="false">P6+O7</f>
        <v>5141.2914</v>
      </c>
      <c r="Q7" s="19" t="n">
        <f aca="false">MIN(Parâmetros!$B$12,MATCH(P7,Curva!$D$5:$D$44,1))</f>
        <v>5</v>
      </c>
      <c r="R7" s="18" t="n">
        <f aca="false">MIN(Parâmetros!$B$12,MATCH(T6,Curva!$D$5:$D$44,1))</f>
        <v>3</v>
      </c>
      <c r="S7" s="16" t="n">
        <f aca="false">IF(F7=0,0,J7*Parâmetros!$B$9*INDEX('Fator Nível'!$B$5:$B$25,MATCH(MAX(-10,MIN(10,C7-R7)),'Fator Nível'!$A$5:$A$25,0))/INDEX('Fator Nível'!$B$5:$B$25,MATCH(MAX(-10,MIN(10,C7-F7)),'Fator Nível'!$A$5:$A$25,0)))</f>
        <v>962.91315</v>
      </c>
      <c r="T7" s="16" t="n">
        <f aca="false">T6+S7</f>
        <v>2570.6457</v>
      </c>
      <c r="U7" s="19" t="n">
        <f aca="false">MIN(Parâmetros!$B$12,MATCH(T7,Curva!$D$5:$D$44,1))</f>
        <v>4</v>
      </c>
      <c r="V7" s="19" t="n">
        <f aca="false">MAX(M7,Q7,U7)+INT(0.25*(M7+Q7+U7-MAX(M7,Q7,U7)))</f>
        <v>10</v>
      </c>
    </row>
    <row r="8" customFormat="false" ht="15" hidden="false" customHeight="false" outlineLevel="0" collapsed="false">
      <c r="A8" s="15" t="s">
        <v>107</v>
      </c>
      <c r="B8" s="15" t="s">
        <v>103</v>
      </c>
      <c r="C8" s="9" t="n">
        <v>5</v>
      </c>
      <c r="D8" s="16" t="n">
        <f aca="false">IF(B8="Aberta",Parâmetros!$B$30,Parâmetros!$B$31)*Parâmetros!$B$29</f>
        <v>88</v>
      </c>
      <c r="E8" s="17" t="n">
        <f aca="false">Parâmetros!$B$25</f>
        <v>1.5</v>
      </c>
      <c r="F8" s="18" t="n">
        <f aca="false">MIN(Parâmetros!$B$12,MATCH(L7,Curva!$D$5:$D$44,1))</f>
        <v>8</v>
      </c>
      <c r="G8" s="16" t="n">
        <f aca="false">D8*INDEX(Curvas!$G$14:$G$112,MATCH(C8,Curvas!$A$14:$A$112,0))*Parâmetros!$B$6*INDEX('Fator Nível'!$B$5:$B$25,MATCH(MAX(-10,MIN(10,C8-F8)),'Fator Nível'!$A$5:$A$25,0))</f>
        <v>5607.36</v>
      </c>
      <c r="H8" s="16" t="n">
        <f aca="false">E8*Parâmetros!$B$26*(INDEX(Curvas!$G$14:$G$112,MATCH(C8+Parâmetros!$B$19,Curvas!$A$14:$A$112,0))*Parâmetros!$B$6*Parâmetros!$D$19*INDEX('Fator Nível'!$B$5:$B$25,MATCH(MAX(-10,MIN(10,C8+Parâmetros!$B$19-F8)),'Fator Nível'!$A$5:$A$25,0))+Parâmetros!$B$28*INDEX(Curvas!$G$14:$G$112,MATCH(C8+Parâmetros!$B$20,Curvas!$A$14:$A$112,0))*Parâmetros!$B$6*Parâmetros!$D$20*INDEX('Fator Nível'!$B$5:$B$25,MATCH(MAX(-10,MIN(10,C8+Parâmetros!$B$20-F8)),'Fator Nível'!$A$5:$A$25,0)))</f>
        <v>3106.62</v>
      </c>
      <c r="I8" s="16" t="n">
        <f aca="false">E8*(1-Parâmetros!$B$26)*Parâmetros!$B$27*INDEX(Curvas!$G$14:$G$112,MATCH(C8+Parâmetros!$B$17,Curvas!$A$14:$A$112,0))*Parâmetros!$B$6*Parâmetros!$D$17*INDEX('Fator Nível'!$B$5:$B$25,MATCH(MAX(-10,MIN(10,C8+Parâmetros!$B$17-F8)),'Fator Nível'!$A$5:$A$25,0))</f>
        <v>225.747</v>
      </c>
      <c r="J8" s="16" t="n">
        <f aca="false">G8+H8+I8</f>
        <v>8939.727</v>
      </c>
      <c r="K8" s="16" t="n">
        <f aca="false">J8*Parâmetros!$B$7</f>
        <v>7598.76795</v>
      </c>
      <c r="L8" s="16" t="n">
        <f aca="false">L7+K8</f>
        <v>22165.76025</v>
      </c>
      <c r="M8" s="19" t="n">
        <f aca="false">MIN(Parâmetros!$B$12,MATCH(L8,Curva!$D$5:$D$44,1))</f>
        <v>9</v>
      </c>
      <c r="N8" s="18" t="n">
        <f aca="false">MIN(Parâmetros!$B$12,MATCH(P7,Curva!$D$5:$D$44,1))</f>
        <v>5</v>
      </c>
      <c r="O8" s="16" t="n">
        <f aca="false">IF(F8=0,0,J8*Parâmetros!$B$8*INDEX('Fator Nível'!$B$5:$B$25,MATCH(MAX(-10,MIN(10,C8-N8)),'Fator Nível'!$A$5:$A$25,0))/INDEX('Fator Nível'!$B$5:$B$25,MATCH(MAX(-10,MIN(10,C8-F8)),'Fator Nível'!$A$5:$A$25,0)))</f>
        <v>2681.9181</v>
      </c>
      <c r="P8" s="16" t="n">
        <f aca="false">P7+O8</f>
        <v>7823.2095</v>
      </c>
      <c r="Q8" s="19" t="n">
        <f aca="false">MIN(Parâmetros!$B$12,MATCH(P8,Curva!$D$5:$D$44,1))</f>
        <v>6</v>
      </c>
      <c r="R8" s="18" t="n">
        <f aca="false">MIN(Parâmetros!$B$12,MATCH(T7,Curva!$D$5:$D$44,1))</f>
        <v>4</v>
      </c>
      <c r="S8" s="16" t="n">
        <f aca="false">IF(F8=0,0,J8*Parâmetros!$B$9*INDEX('Fator Nível'!$B$5:$B$25,MATCH(MAX(-10,MIN(10,C8-R8)),'Fator Nível'!$A$5:$A$25,0))/INDEX('Fator Nível'!$B$5:$B$25,MATCH(MAX(-10,MIN(10,C8-F8)),'Fator Nível'!$A$5:$A$25,0)))</f>
        <v>1340.95905</v>
      </c>
      <c r="T8" s="16" t="n">
        <f aca="false">T7+S8</f>
        <v>3911.60475</v>
      </c>
      <c r="U8" s="19" t="n">
        <f aca="false">MIN(Parâmetros!$B$12,MATCH(T8,Curva!$D$5:$D$44,1))</f>
        <v>5</v>
      </c>
      <c r="V8" s="19" t="n">
        <f aca="false">MAX(M8,Q8,U8)+INT(0.25*(M8+Q8+U8-MAX(M8,Q8,U8)))</f>
        <v>11</v>
      </c>
    </row>
    <row r="9" customFormat="false" ht="15" hidden="false" customHeight="false" outlineLevel="0" collapsed="false">
      <c r="A9" s="15" t="s">
        <v>108</v>
      </c>
      <c r="B9" s="15" t="s">
        <v>103</v>
      </c>
      <c r="C9" s="9" t="n">
        <v>7</v>
      </c>
      <c r="D9" s="16" t="n">
        <f aca="false">IF(B9="Aberta",Parâmetros!$B$30,Parâmetros!$B$31)*Parâmetros!$B$29</f>
        <v>88</v>
      </c>
      <c r="E9" s="17" t="n">
        <f aca="false">Parâmetros!$B$25</f>
        <v>1.5</v>
      </c>
      <c r="F9" s="18" t="n">
        <f aca="false">MIN(Parâmetros!$B$12,MATCH(L8,Curva!$D$5:$D$44,1))</f>
        <v>9</v>
      </c>
      <c r="G9" s="16" t="n">
        <f aca="false">D9*INDEX(Curvas!$G$14:$G$112,MATCH(C9,Curvas!$A$14:$A$112,0))*Parâmetros!$B$6*INDEX('Fator Nível'!$B$5:$B$25,MATCH(MAX(-10,MIN(10,C9-F9)),'Fator Nível'!$A$5:$A$25,0))</f>
        <v>7357.68</v>
      </c>
      <c r="H9" s="16" t="n">
        <f aca="false">E9*Parâmetros!$B$26*(INDEX(Curvas!$G$14:$G$112,MATCH(C9+Parâmetros!$B$19,Curvas!$A$14:$A$112,0))*Parâmetros!$B$6*Parâmetros!$D$19*INDEX('Fator Nível'!$B$5:$B$25,MATCH(MAX(-10,MIN(10,C9+Parâmetros!$B$19-F9)),'Fator Nível'!$A$5:$A$25,0))+Parâmetros!$B$28*INDEX(Curvas!$G$14:$G$112,MATCH(C9+Parâmetros!$B$20,Curvas!$A$14:$A$112,0))*Parâmetros!$B$6*Parâmetros!$D$20*INDEX('Fator Nível'!$B$5:$B$25,MATCH(MAX(-10,MIN(10,C9+Parâmetros!$B$20-F9)),'Fator Nível'!$A$5:$A$25,0)))</f>
        <v>3852.09</v>
      </c>
      <c r="I9" s="16" t="n">
        <f aca="false">E9*(1-Parâmetros!$B$26)*Parâmetros!$B$27*INDEX(Curvas!$G$14:$G$112,MATCH(C9+Parâmetros!$B$17,Curvas!$A$14:$A$112,0))*Parâmetros!$B$6*Parâmetros!$D$17*INDEX('Fator Nível'!$B$5:$B$25,MATCH(MAX(-10,MIN(10,C9+Parâmetros!$B$17-F9)),'Fator Nível'!$A$5:$A$25,0))</f>
        <v>284.067</v>
      </c>
      <c r="J9" s="16" t="n">
        <f aca="false">G9+H9+I9</f>
        <v>11493.837</v>
      </c>
      <c r="K9" s="16" t="n">
        <f aca="false">J9*Parâmetros!$B$7</f>
        <v>9769.76145</v>
      </c>
      <c r="L9" s="16" t="n">
        <f aca="false">L8+K9</f>
        <v>31935.5217</v>
      </c>
      <c r="M9" s="19" t="n">
        <f aca="false">MIN(Parâmetros!$B$12,MATCH(L9,Curva!$D$5:$D$44,1))</f>
        <v>10</v>
      </c>
      <c r="N9" s="18" t="n">
        <f aca="false">MIN(Parâmetros!$B$12,MATCH(P8,Curva!$D$5:$D$44,1))</f>
        <v>6</v>
      </c>
      <c r="O9" s="16" t="n">
        <f aca="false">IF(F9=0,0,J9*Parâmetros!$B$8*INDEX('Fator Nível'!$B$5:$B$25,MATCH(MAX(-10,MIN(10,C9-N9)),'Fator Nível'!$A$5:$A$25,0))/INDEX('Fator Nível'!$B$5:$B$25,MATCH(MAX(-10,MIN(10,C9-F9)),'Fator Nível'!$A$5:$A$25,0)))</f>
        <v>3448.1511</v>
      </c>
      <c r="P9" s="16" t="n">
        <f aca="false">P8+O9</f>
        <v>11271.3606</v>
      </c>
      <c r="Q9" s="19" t="n">
        <f aca="false">MIN(Parâmetros!$B$12,MATCH(P9,Curva!$D$5:$D$44,1))</f>
        <v>7</v>
      </c>
      <c r="R9" s="18" t="n">
        <f aca="false">MIN(Parâmetros!$B$12,MATCH(T8,Curva!$D$5:$D$44,1))</f>
        <v>5</v>
      </c>
      <c r="S9" s="16" t="n">
        <f aca="false">IF(F9=0,0,J9*Parâmetros!$B$9*INDEX('Fator Nível'!$B$5:$B$25,MATCH(MAX(-10,MIN(10,C9-R9)),'Fator Nível'!$A$5:$A$25,0))/INDEX('Fator Nível'!$B$5:$B$25,MATCH(MAX(-10,MIN(10,C9-F9)),'Fator Nível'!$A$5:$A$25,0)))</f>
        <v>1724.07555</v>
      </c>
      <c r="T9" s="16" t="n">
        <f aca="false">T8+S9</f>
        <v>5635.6803</v>
      </c>
      <c r="U9" s="19" t="n">
        <f aca="false">MIN(Parâmetros!$B$12,MATCH(T9,Curva!$D$5:$D$44,1))</f>
        <v>5</v>
      </c>
      <c r="V9" s="19" t="n">
        <f aca="false">MAX(M9,Q9,U9)+INT(0.25*(M9+Q9+U9-MAX(M9,Q9,U9)))</f>
        <v>13</v>
      </c>
    </row>
    <row r="10" customFormat="false" ht="15" hidden="false" customHeight="false" outlineLevel="0" collapsed="false">
      <c r="A10" s="15" t="s">
        <v>109</v>
      </c>
      <c r="B10" s="15" t="s">
        <v>105</v>
      </c>
      <c r="C10" s="9" t="n">
        <v>9</v>
      </c>
      <c r="D10" s="16" t="n">
        <f aca="false">IF(B10="Aberta",Parâmetros!$B$30,Parâmetros!$B$31)*Parâmetros!$B$29</f>
        <v>64</v>
      </c>
      <c r="E10" s="17" t="n">
        <f aca="false">Parâmetros!$B$25</f>
        <v>1.5</v>
      </c>
      <c r="F10" s="18" t="n">
        <f aca="false">MIN(Parâmetros!$B$12,MATCH(L9,Curva!$D$5:$D$44,1))</f>
        <v>10</v>
      </c>
      <c r="G10" s="16" t="n">
        <f aca="false">D10*INDEX(Curvas!$G$14:$G$112,MATCH(C10,Curvas!$A$14:$A$112,0))*Parâmetros!$B$6*INDEX('Fator Nível'!$B$5:$B$25,MATCH(MAX(-10,MIN(10,C10-F10)),'Fator Nível'!$A$5:$A$25,0))</f>
        <v>6733.44</v>
      </c>
      <c r="H10" s="16" t="n">
        <f aca="false">E10*Parâmetros!$B$26*(INDEX(Curvas!$G$14:$G$112,MATCH(C10+Parâmetros!$B$19,Curvas!$A$14:$A$112,0))*Parâmetros!$B$6*Parâmetros!$D$19*INDEX('Fator Nível'!$B$5:$B$25,MATCH(MAX(-10,MIN(10,C10+Parâmetros!$B$19-F10)),'Fator Nível'!$A$5:$A$25,0))+Parâmetros!$B$28*INDEX(Curvas!$G$14:$G$112,MATCH(C10+Parâmetros!$B$20,Curvas!$A$14:$A$112,0))*Parâmetros!$B$6*Parâmetros!$D$20*INDEX('Fator Nível'!$B$5:$B$25,MATCH(MAX(-10,MIN(10,C10+Parâmetros!$B$20-F10)),'Fator Nível'!$A$5:$A$25,0)))</f>
        <v>4677.75</v>
      </c>
      <c r="I10" s="16" t="n">
        <f aca="false">E10*(1-Parâmetros!$B$26)*Parâmetros!$B$27*INDEX(Curvas!$G$14:$G$112,MATCH(C10+Parâmetros!$B$17,Curvas!$A$14:$A$112,0))*Parâmetros!$B$6*Parâmetros!$D$17*INDEX('Fator Nível'!$B$5:$B$25,MATCH(MAX(-10,MIN(10,C10+Parâmetros!$B$17-F10)),'Fator Nível'!$A$5:$A$25,0))</f>
        <v>347.976</v>
      </c>
      <c r="J10" s="16" t="n">
        <f aca="false">G10+H10+I10</f>
        <v>11759.166</v>
      </c>
      <c r="K10" s="16" t="n">
        <f aca="false">J10*Parâmetros!$B$7</f>
        <v>9995.2911</v>
      </c>
      <c r="L10" s="16" t="n">
        <f aca="false">L9+K10</f>
        <v>41930.8128</v>
      </c>
      <c r="M10" s="19" t="n">
        <f aca="false">MIN(Parâmetros!$B$12,MATCH(L10,Curva!$D$5:$D$44,1))</f>
        <v>11</v>
      </c>
      <c r="N10" s="18" t="n">
        <f aca="false">MIN(Parâmetros!$B$12,MATCH(P9,Curva!$D$5:$D$44,1))</f>
        <v>7</v>
      </c>
      <c r="O10" s="16" t="n">
        <f aca="false">IF(F10=0,0,J10*Parâmetros!$B$8*INDEX('Fator Nível'!$B$5:$B$25,MATCH(MAX(-10,MIN(10,C10-N10)),'Fator Nível'!$A$5:$A$25,0))/INDEX('Fator Nível'!$B$5:$B$25,MATCH(MAX(-10,MIN(10,C10-F10)),'Fator Nível'!$A$5:$A$25,0)))</f>
        <v>3527.7498</v>
      </c>
      <c r="P10" s="16" t="n">
        <f aca="false">P9+O10</f>
        <v>14799.1104</v>
      </c>
      <c r="Q10" s="19" t="n">
        <f aca="false">MIN(Parâmetros!$B$12,MATCH(P10,Curva!$D$5:$D$44,1))</f>
        <v>8</v>
      </c>
      <c r="R10" s="18" t="n">
        <f aca="false">MIN(Parâmetros!$B$12,MATCH(T9,Curva!$D$5:$D$44,1))</f>
        <v>5</v>
      </c>
      <c r="S10" s="16" t="n">
        <f aca="false">IF(F10=0,0,J10*Parâmetros!$B$9*INDEX('Fator Nível'!$B$5:$B$25,MATCH(MAX(-10,MIN(10,C10-R10)),'Fator Nível'!$A$5:$A$25,0))/INDEX('Fator Nível'!$B$5:$B$25,MATCH(MAX(-10,MIN(10,C10-F10)),'Fator Nível'!$A$5:$A$25,0)))</f>
        <v>1763.8749</v>
      </c>
      <c r="T10" s="16" t="n">
        <f aca="false">T9+S10</f>
        <v>7399.5552</v>
      </c>
      <c r="U10" s="19" t="n">
        <f aca="false">MIN(Parâmetros!$B$12,MATCH(T10,Curva!$D$5:$D$44,1))</f>
        <v>6</v>
      </c>
      <c r="V10" s="19" t="n">
        <f aca="false">MAX(M10,Q10,U10)+INT(0.25*(M10+Q10+U10-MAX(M10,Q10,U10)))</f>
        <v>14</v>
      </c>
    </row>
    <row r="11" customFormat="false" ht="15" hidden="false" customHeight="false" outlineLevel="0" collapsed="false">
      <c r="A11" s="15" t="s">
        <v>110</v>
      </c>
      <c r="B11" s="15" t="s">
        <v>105</v>
      </c>
      <c r="C11" s="9" t="n">
        <v>10</v>
      </c>
      <c r="D11" s="16" t="n">
        <f aca="false">IF(B11="Aberta",Parâmetros!$B$30,Parâmetros!$B$31)*Parâmetros!$B$29</f>
        <v>64</v>
      </c>
      <c r="E11" s="17" t="n">
        <f aca="false">Parâmetros!$B$25</f>
        <v>1.5</v>
      </c>
      <c r="F11" s="18" t="n">
        <f aca="false">MIN(Parâmetros!$B$12,MATCH(L10,Curva!$D$5:$D$44,1))</f>
        <v>11</v>
      </c>
      <c r="G11" s="16" t="n">
        <f aca="false">D11*INDEX(Curvas!$G$14:$G$112,MATCH(C11,Curvas!$A$14:$A$112,0))*Parâmetros!$B$6*INDEX('Fator Nível'!$B$5:$B$25,MATCH(MAX(-10,MIN(10,C11-F11)),'Fator Nível'!$A$5:$A$25,0))</f>
        <v>7470.72</v>
      </c>
      <c r="H11" s="16" t="n">
        <f aca="false">E11*Parâmetros!$B$26*(INDEX(Curvas!$G$14:$G$112,MATCH(C11+Parâmetros!$B$19,Curvas!$A$14:$A$112,0))*Parâmetros!$B$6*Parâmetros!$D$19*INDEX('Fator Nível'!$B$5:$B$25,MATCH(MAX(-10,MIN(10,C11+Parâmetros!$B$19-F11)),'Fator Nível'!$A$5:$A$25,0))+Parâmetros!$B$28*INDEX(Curvas!$G$14:$G$112,MATCH(C11+Parâmetros!$B$20,Curvas!$A$14:$A$112,0))*Parâmetros!$B$6*Parâmetros!$D$20*INDEX('Fator Nível'!$B$5:$B$25,MATCH(MAX(-10,MIN(10,C11+Parâmetros!$B$20-F11)),'Fator Nível'!$A$5:$A$25,0)))</f>
        <v>5126.22</v>
      </c>
      <c r="I11" s="16" t="n">
        <f aca="false">E11*(1-Parâmetros!$B$26)*Parâmetros!$B$27*INDEX(Curvas!$G$14:$G$112,MATCH(C11+Parâmetros!$B$17,Curvas!$A$14:$A$112,0))*Parâmetros!$B$6*Parâmetros!$D$17*INDEX('Fator Nível'!$B$5:$B$25,MATCH(MAX(-10,MIN(10,C11+Parâmetros!$B$17-F11)),'Fator Nível'!$A$5:$A$25,0))</f>
        <v>382.725</v>
      </c>
      <c r="J11" s="16" t="n">
        <f aca="false">G11+H11+I11</f>
        <v>12979.665</v>
      </c>
      <c r="K11" s="16" t="n">
        <f aca="false">J11*Parâmetros!$B$7</f>
        <v>11032.71525</v>
      </c>
      <c r="L11" s="16" t="n">
        <f aca="false">L10+K11</f>
        <v>52963.52805</v>
      </c>
      <c r="M11" s="19" t="n">
        <f aca="false">MIN(Parâmetros!$B$12,MATCH(L11,Curva!$D$5:$D$44,1))</f>
        <v>12</v>
      </c>
      <c r="N11" s="18" t="n">
        <f aca="false">MIN(Parâmetros!$B$12,MATCH(P10,Curva!$D$5:$D$44,1))</f>
        <v>8</v>
      </c>
      <c r="O11" s="16" t="n">
        <f aca="false">IF(F11=0,0,J11*Parâmetros!$B$8*INDEX('Fator Nível'!$B$5:$B$25,MATCH(MAX(-10,MIN(10,C11-N11)),'Fator Nível'!$A$5:$A$25,0))/INDEX('Fator Nível'!$B$5:$B$25,MATCH(MAX(-10,MIN(10,C11-F11)),'Fator Nível'!$A$5:$A$25,0)))</f>
        <v>3893.8995</v>
      </c>
      <c r="P11" s="16" t="n">
        <f aca="false">P10+O11</f>
        <v>18693.0099</v>
      </c>
      <c r="Q11" s="19" t="n">
        <f aca="false">MIN(Parâmetros!$B$12,MATCH(P11,Curva!$D$5:$D$44,1))</f>
        <v>9</v>
      </c>
      <c r="R11" s="18" t="n">
        <f aca="false">MIN(Parâmetros!$B$12,MATCH(T10,Curva!$D$5:$D$44,1))</f>
        <v>6</v>
      </c>
      <c r="S11" s="16" t="n">
        <f aca="false">IF(F11=0,0,J11*Parâmetros!$B$9*INDEX('Fator Nível'!$B$5:$B$25,MATCH(MAX(-10,MIN(10,C11-R11)),'Fator Nível'!$A$5:$A$25,0))/INDEX('Fator Nível'!$B$5:$B$25,MATCH(MAX(-10,MIN(10,C11-F11)),'Fator Nível'!$A$5:$A$25,0)))</f>
        <v>1946.94975</v>
      </c>
      <c r="T11" s="16" t="n">
        <f aca="false">T10+S11</f>
        <v>9346.50495</v>
      </c>
      <c r="U11" s="19" t="n">
        <f aca="false">MIN(Parâmetros!$B$12,MATCH(T11,Curva!$D$5:$D$44,1))</f>
        <v>7</v>
      </c>
      <c r="V11" s="19" t="n">
        <f aca="false">MAX(M11,Q11,U11)+INT(0.25*(M11+Q11+U11-MAX(M11,Q11,U11)))</f>
        <v>16</v>
      </c>
    </row>
    <row r="12" customFormat="false" ht="15" hidden="false" customHeight="false" outlineLevel="0" collapsed="false">
      <c r="A12" s="15" t="s">
        <v>111</v>
      </c>
      <c r="B12" s="15" t="s">
        <v>105</v>
      </c>
      <c r="C12" s="9" t="n">
        <v>11</v>
      </c>
      <c r="D12" s="16" t="n">
        <f aca="false">IF(B12="Aberta",Parâmetros!$B$30,Parâmetros!$B$31)*Parâmetros!$B$29</f>
        <v>64</v>
      </c>
      <c r="E12" s="17" t="n">
        <f aca="false">Parâmetros!$B$25</f>
        <v>1.5</v>
      </c>
      <c r="F12" s="18" t="n">
        <f aca="false">MIN(Parâmetros!$B$12,MATCH(L11,Curva!$D$5:$D$44,1))</f>
        <v>12</v>
      </c>
      <c r="G12" s="16" t="n">
        <f aca="false">D12*INDEX(Curvas!$G$14:$G$112,MATCH(C12,Curvas!$A$14:$A$112,0))*Parâmetros!$B$6*INDEX('Fator Nível'!$B$5:$B$25,MATCH(MAX(-10,MIN(10,C12-F12)),'Fator Nível'!$A$5:$A$25,0))</f>
        <v>8248.32</v>
      </c>
      <c r="H12" s="16" t="n">
        <f aca="false">E12*Parâmetros!$B$26*(INDEX(Curvas!$G$14:$G$112,MATCH(C12+Parâmetros!$B$19,Curvas!$A$14:$A$112,0))*Parâmetros!$B$6*Parâmetros!$D$19*INDEX('Fator Nível'!$B$5:$B$25,MATCH(MAX(-10,MIN(10,C12+Parâmetros!$B$19-F12)),'Fator Nível'!$A$5:$A$25,0))+Parâmetros!$B$28*INDEX(Curvas!$G$14:$G$112,MATCH(C12+Parâmetros!$B$20,Curvas!$A$14:$A$112,0))*Parâmetros!$B$6*Parâmetros!$D$20*INDEX('Fator Nível'!$B$5:$B$25,MATCH(MAX(-10,MIN(10,C12+Parâmetros!$B$20-F12)),'Fator Nível'!$A$5:$A$25,0)))</f>
        <v>5601.42</v>
      </c>
      <c r="I12" s="16" t="n">
        <f aca="false">E12*(1-Parâmetros!$B$26)*Parâmetros!$B$27*INDEX(Curvas!$G$14:$G$112,MATCH(C12+Parâmetros!$B$17,Curvas!$A$14:$A$112,0))*Parâmetros!$B$6*Parâmetros!$D$17*INDEX('Fator Nível'!$B$5:$B$25,MATCH(MAX(-10,MIN(10,C12+Parâmetros!$B$17-F12)),'Fator Nível'!$A$5:$A$25,0))</f>
        <v>419.418</v>
      </c>
      <c r="J12" s="16" t="n">
        <f aca="false">G12+H12+I12</f>
        <v>14269.158</v>
      </c>
      <c r="K12" s="16" t="n">
        <f aca="false">J12*Parâmetros!$B$7</f>
        <v>12128.7843</v>
      </c>
      <c r="L12" s="16" t="n">
        <f aca="false">L11+K12</f>
        <v>65092.31235</v>
      </c>
      <c r="M12" s="19" t="n">
        <f aca="false">MIN(Parâmetros!$B$12,MATCH(L12,Curva!$D$5:$D$44,1))</f>
        <v>13</v>
      </c>
      <c r="N12" s="18" t="n">
        <f aca="false">MIN(Parâmetros!$B$12,MATCH(P11,Curva!$D$5:$D$44,1))</f>
        <v>9</v>
      </c>
      <c r="O12" s="16" t="n">
        <f aca="false">IF(F12=0,0,J12*Parâmetros!$B$8*INDEX('Fator Nível'!$B$5:$B$25,MATCH(MAX(-10,MIN(10,C12-N12)),'Fator Nível'!$A$5:$A$25,0))/INDEX('Fator Nível'!$B$5:$B$25,MATCH(MAX(-10,MIN(10,C12-F12)),'Fator Nível'!$A$5:$A$25,0)))</f>
        <v>4280.7474</v>
      </c>
      <c r="P12" s="16" t="n">
        <f aca="false">P11+O12</f>
        <v>22973.7573</v>
      </c>
      <c r="Q12" s="19" t="n">
        <f aca="false">MIN(Parâmetros!$B$12,MATCH(P12,Curva!$D$5:$D$44,1))</f>
        <v>9</v>
      </c>
      <c r="R12" s="18" t="n">
        <f aca="false">MIN(Parâmetros!$B$12,MATCH(T11,Curva!$D$5:$D$44,1))</f>
        <v>7</v>
      </c>
      <c r="S12" s="16" t="n">
        <f aca="false">IF(F12=0,0,J12*Parâmetros!$B$9*INDEX('Fator Nível'!$B$5:$B$25,MATCH(MAX(-10,MIN(10,C12-R12)),'Fator Nível'!$A$5:$A$25,0))/INDEX('Fator Nível'!$B$5:$B$25,MATCH(MAX(-10,MIN(10,C12-F12)),'Fator Nível'!$A$5:$A$25,0)))</f>
        <v>2140.3737</v>
      </c>
      <c r="T12" s="16" t="n">
        <f aca="false">T11+S12</f>
        <v>11486.87865</v>
      </c>
      <c r="U12" s="19" t="n">
        <f aca="false">MIN(Parâmetros!$B$12,MATCH(T12,Curva!$D$5:$D$44,1))</f>
        <v>7</v>
      </c>
      <c r="V12" s="19" t="n">
        <f aca="false">MAX(M12,Q12,U12)+INT(0.25*(M12+Q12+U12-MAX(M12,Q12,U12)))</f>
        <v>17</v>
      </c>
    </row>
    <row r="13" customFormat="false" ht="15" hidden="false" customHeight="false" outlineLevel="0" collapsed="false">
      <c r="A13" s="15" t="s">
        <v>112</v>
      </c>
      <c r="B13" s="15" t="s">
        <v>60</v>
      </c>
      <c r="C13" s="20" t="n">
        <f aca="false">Parâmetros!$B$32</f>
        <v>12</v>
      </c>
      <c r="D13" s="16" t="n">
        <v>0</v>
      </c>
      <c r="E13" s="21" t="n">
        <v>0</v>
      </c>
      <c r="F13" s="18" t="n">
        <f aca="false">MIN(Parâmetros!$B$12,MATCH(L12,Curva!$D$5:$D$44,1))</f>
        <v>13</v>
      </c>
      <c r="G13" s="16" t="n">
        <f aca="false">INDEX(Curvas!$G$14:$G$112,MATCH(C13,Curvas!$A$14:$A$112,0))*Parâmetros!$B$6*Parâmetros!$D$21*INDEX('Fator Nível'!$B$5:$B$25,MATCH(MAX(-10,MIN(10,C13-F13)),'Fator Nível'!$A$5:$A$25,0))</f>
        <v>2126.25</v>
      </c>
      <c r="H13" s="16" t="n">
        <v>0</v>
      </c>
      <c r="I13" s="16" t="n">
        <v>0</v>
      </c>
      <c r="J13" s="16" t="n">
        <f aca="false">G13+H13+I13</f>
        <v>2126.25</v>
      </c>
      <c r="K13" s="16" t="n">
        <f aca="false">J13*Parâmetros!$B$7</f>
        <v>1807.3125</v>
      </c>
      <c r="L13" s="16" t="n">
        <f aca="false">L12+K13</f>
        <v>66899.62485</v>
      </c>
      <c r="M13" s="19" t="n">
        <f aca="false">MIN(Parâmetros!$B$12,MATCH(L13,Curva!$D$5:$D$44,1))</f>
        <v>13</v>
      </c>
      <c r="N13" s="18" t="n">
        <f aca="false">MIN(Parâmetros!$B$12,MATCH(P12,Curva!$D$5:$D$44,1))</f>
        <v>9</v>
      </c>
      <c r="O13" s="16" t="n">
        <f aca="false">IF(F13=0,0,J13*Parâmetros!$B$8*INDEX('Fator Nível'!$B$5:$B$25,MATCH(MAX(-10,MIN(10,C13-N13)),'Fator Nível'!$A$5:$A$25,0))/INDEX('Fator Nível'!$B$5:$B$25,MATCH(MAX(-10,MIN(10,C13-F13)),'Fator Nível'!$A$5:$A$25,0)))</f>
        <v>637.875</v>
      </c>
      <c r="P13" s="16" t="n">
        <f aca="false">P12+O13</f>
        <v>23611.6323</v>
      </c>
      <c r="Q13" s="19" t="n">
        <f aca="false">MIN(Parâmetros!$B$12,MATCH(P13,Curva!$D$5:$D$44,1))</f>
        <v>9</v>
      </c>
      <c r="R13" s="18" t="n">
        <f aca="false">MIN(Parâmetros!$B$12,MATCH(T12,Curva!$D$5:$D$44,1))</f>
        <v>7</v>
      </c>
      <c r="S13" s="16" t="n">
        <f aca="false">IF(F13=0,0,J13*Parâmetros!$B$9*INDEX('Fator Nível'!$B$5:$B$25,MATCH(MAX(-10,MIN(10,C13-R13)),'Fator Nível'!$A$5:$A$25,0))/INDEX('Fator Nível'!$B$5:$B$25,MATCH(MAX(-10,MIN(10,C13-F13)),'Fator Nível'!$A$5:$A$25,0)))</f>
        <v>318.9375</v>
      </c>
      <c r="T13" s="16" t="n">
        <f aca="false">T12+S13</f>
        <v>11805.81615</v>
      </c>
      <c r="U13" s="19" t="n">
        <f aca="false">MIN(Parâmetros!$B$12,MATCH(T13,Curva!$D$5:$D$44,1))</f>
        <v>7</v>
      </c>
      <c r="V13" s="19" t="n">
        <f aca="false">MAX(M13,Q13,U13)+INT(0.25*(M13+Q13+U13-MAX(M13,Q13,U13)))</f>
        <v>17</v>
      </c>
    </row>
    <row r="15" customFormat="false" ht="15" hidden="false" customHeight="false" outlineLevel="0" collapsed="false">
      <c r="A15" s="10" t="s">
        <v>113</v>
      </c>
    </row>
    <row r="16" customFormat="false" ht="15" hidden="false" customHeight="false" outlineLevel="0" collapsed="false">
      <c r="A16" s="5" t="s">
        <v>114</v>
      </c>
      <c r="B16" s="22" t="n">
        <f aca="false">M13</f>
        <v>13</v>
      </c>
    </row>
    <row r="17" customFormat="false" ht="15" hidden="false" customHeight="false" outlineLevel="0" collapsed="false">
      <c r="A17" s="5" t="s">
        <v>115</v>
      </c>
      <c r="B17" s="22" t="n">
        <f aca="false">Q13</f>
        <v>9</v>
      </c>
    </row>
    <row r="18" customFormat="false" ht="15" hidden="false" customHeight="false" outlineLevel="0" collapsed="false">
      <c r="A18" s="5" t="s">
        <v>116</v>
      </c>
      <c r="B18" s="22" t="n">
        <f aca="false">U13</f>
        <v>7</v>
      </c>
    </row>
    <row r="19" customFormat="false" ht="15" hidden="false" customHeight="false" outlineLevel="0" collapsed="false">
      <c r="A19" s="5" t="s">
        <v>101</v>
      </c>
      <c r="B19" s="22" t="n">
        <f aca="false">V13</f>
        <v>17</v>
      </c>
    </row>
    <row r="20" customFormat="false" ht="15" hidden="false" customHeight="false" outlineLevel="0" collapsed="false">
      <c r="A20" s="5" t="s">
        <v>117</v>
      </c>
      <c r="B20" s="22" t="n">
        <f aca="false">SUM(D5:D13)+SUMPRODUCT(E5:E13)*(Parâmetros!$B$26*(1+Parâmetros!$B$28)+(1-Parâmetros!$B$26)*Parâmetros!$B$27)+1</f>
        <v>645</v>
      </c>
    </row>
    <row r="21" customFormat="false" ht="15" hidden="false" customHeight="false" outlineLevel="0" collapsed="false">
      <c r="A21" s="5" t="s">
        <v>118</v>
      </c>
      <c r="B21" s="23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11" min="2" style="0" width="15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3" t="s">
        <v>121</v>
      </c>
    </row>
    <row r="4" customFormat="false" ht="31.5" hidden="false" customHeight="true" outlineLevel="0" collapsed="false">
      <c r="A4" s="4" t="s">
        <v>122</v>
      </c>
      <c r="B4" s="4" t="s">
        <v>123</v>
      </c>
      <c r="C4" s="4" t="s">
        <v>124</v>
      </c>
      <c r="D4" s="4" t="s">
        <v>125</v>
      </c>
      <c r="E4" s="4" t="s">
        <v>126</v>
      </c>
      <c r="F4" s="4" t="s">
        <v>127</v>
      </c>
      <c r="G4" s="4" t="s">
        <v>128</v>
      </c>
      <c r="H4" s="4" t="s">
        <v>129</v>
      </c>
      <c r="I4" s="4" t="s">
        <v>130</v>
      </c>
      <c r="J4" s="4" t="s">
        <v>131</v>
      </c>
      <c r="K4" s="4" t="s">
        <v>132</v>
      </c>
    </row>
    <row r="5" customFormat="false" ht="15" hidden="false" customHeight="false" outlineLevel="0" collapsed="false">
      <c r="A5" s="5" t="n">
        <v>1</v>
      </c>
      <c r="B5" s="23" t="n">
        <v>0</v>
      </c>
      <c r="C5" s="16" t="n">
        <f aca="false">INDEX(Curvas!$B$14:$B$112,MATCH(A5,Curvas!$A$14:$A$112,0))-B5</f>
        <v>300</v>
      </c>
      <c r="D5" s="16" t="n">
        <f aca="false">ROUND(B5*Parâmetros!$B$5,0)</f>
        <v>0</v>
      </c>
      <c r="E5" s="16" t="n">
        <f aca="false">ROUND(C5*Parâmetros!$B$5,0)</f>
        <v>300</v>
      </c>
      <c r="F5" s="24" t="n">
        <f aca="false">INDEX(Curvas!$G$14:$G$112,MATCH(A5,Curvas!$A$14:$A$112,0))*Parâmetros!$B$6</f>
        <v>23.04</v>
      </c>
      <c r="G5" s="16" t="n">
        <f aca="false">C5/F5</f>
        <v>13.0208333333333</v>
      </c>
      <c r="H5" s="16" t="n">
        <f aca="false">E5/F5</f>
        <v>13.0208333333333</v>
      </c>
      <c r="I5" s="16" t="n">
        <f aca="false">INDEX(Curvas!$G$14:$G$112,MATCH(A5+Parâmetros!$B$17,Curvas!$A$14:$A$112,0))*Parâmetros!$B$6*Parâmetros!$D$17</f>
        <v>133.38</v>
      </c>
      <c r="J5" s="16" t="n">
        <f aca="false">INDEX(Curvas!$G$14:$G$112,MATCH(A5+Parâmetros!$B$19,Curvas!$A$14:$A$112,0))*Parâmetros!$B$6*Parâmetros!$D$19</f>
        <v>270.45</v>
      </c>
      <c r="K5" s="16" t="n">
        <f aca="false">INDEX(Curvas!$G$14:$G$112,MATCH(A5+Parâmetros!$B$20,Curvas!$A$14:$A$112,0))*Parâmetros!$B$6*Parâmetros!$D$20</f>
        <v>270.45</v>
      </c>
    </row>
    <row r="6" customFormat="false" ht="15" hidden="false" customHeight="false" outlineLevel="0" collapsed="false">
      <c r="A6" s="5" t="n">
        <v>2</v>
      </c>
      <c r="B6" s="16" t="n">
        <f aca="false">INDEX(Curvas!$B$14:$B$112,MATCH(A6-1,Curvas!$A$14:$A$112,0))</f>
        <v>300</v>
      </c>
      <c r="C6" s="16" t="n">
        <f aca="false">INDEX(Curvas!$B$14:$B$112,MATCH(A6,Curvas!$A$14:$A$112,0))-B6</f>
        <v>640</v>
      </c>
      <c r="D6" s="16" t="n">
        <f aca="false">ROUND(B6*Parâmetros!$B$5,0)</f>
        <v>300</v>
      </c>
      <c r="E6" s="16" t="n">
        <f aca="false">ROUND(C6*Parâmetros!$B$5,0)</f>
        <v>640</v>
      </c>
      <c r="F6" s="24" t="n">
        <f aca="false">INDEX(Curvas!$G$14:$G$112,MATCH(A6,Curvas!$A$14:$A$112,0))*Parâmetros!$B$6</f>
        <v>34.38</v>
      </c>
      <c r="G6" s="16" t="n">
        <f aca="false">C6/F6</f>
        <v>18.6154741128563</v>
      </c>
      <c r="H6" s="16" t="n">
        <f aca="false">E6/F6</f>
        <v>18.6154741128563</v>
      </c>
      <c r="I6" s="16" t="n">
        <f aca="false">INDEX(Curvas!$G$14:$G$112,MATCH(A6+Parâmetros!$B$17,Curvas!$A$14:$A$112,0))*Parâmetros!$B$6*Parâmetros!$D$17</f>
        <v>162.27</v>
      </c>
      <c r="J6" s="16" t="n">
        <f aca="false">INDEX(Curvas!$G$14:$G$112,MATCH(A6+Parâmetros!$B$19,Curvas!$A$14:$A$112,0))*Parâmetros!$B$6*Parâmetros!$D$19</f>
        <v>318.6</v>
      </c>
      <c r="K6" s="16" t="n">
        <f aca="false">INDEX(Curvas!$G$14:$G$112,MATCH(A6+Parâmetros!$B$20,Curvas!$A$14:$A$112,0))*Parâmetros!$B$6*Parâmetros!$D$20</f>
        <v>318.6</v>
      </c>
    </row>
    <row r="7" customFormat="false" ht="15" hidden="false" customHeight="false" outlineLevel="0" collapsed="false">
      <c r="A7" s="5" t="n">
        <v>3</v>
      </c>
      <c r="B7" s="16" t="n">
        <f aca="false">INDEX(Curvas!$B$14:$B$112,MATCH(A7-1,Curvas!$A$14:$A$112,0))</f>
        <v>940</v>
      </c>
      <c r="C7" s="16" t="n">
        <f aca="false">INDEX(Curvas!$B$14:$B$112,MATCH(A7,Curvas!$A$14:$A$112,0))-B7</f>
        <v>1050</v>
      </c>
      <c r="D7" s="16" t="n">
        <f aca="false">ROUND(B7*Parâmetros!$B$5,0)</f>
        <v>940</v>
      </c>
      <c r="E7" s="16" t="n">
        <f aca="false">ROUND(C7*Parâmetros!$B$5,0)</f>
        <v>1050</v>
      </c>
      <c r="F7" s="24" t="n">
        <f aca="false">INDEX(Curvas!$G$14:$G$112,MATCH(A7,Curvas!$A$14:$A$112,0))*Parâmetros!$B$6</f>
        <v>44.46</v>
      </c>
      <c r="G7" s="16" t="n">
        <f aca="false">C7/F7</f>
        <v>23.6167341430499</v>
      </c>
      <c r="H7" s="16" t="n">
        <f aca="false">E7/F7</f>
        <v>23.6167341430499</v>
      </c>
      <c r="I7" s="16" t="n">
        <f aca="false">INDEX(Curvas!$G$14:$G$112,MATCH(A7+Parâmetros!$B$17,Curvas!$A$14:$A$112,0))*Parâmetros!$B$6*Parâmetros!$D$17</f>
        <v>191.16</v>
      </c>
      <c r="J7" s="16" t="n">
        <f aca="false">INDEX(Curvas!$G$14:$G$112,MATCH(A7+Parâmetros!$B$19,Curvas!$A$14:$A$112,0))*Parâmetros!$B$6*Parâmetros!$D$19</f>
        <v>367.65</v>
      </c>
      <c r="K7" s="16" t="n">
        <f aca="false">INDEX(Curvas!$G$14:$G$112,MATCH(A7+Parâmetros!$B$20,Curvas!$A$14:$A$112,0))*Parâmetros!$B$6*Parâmetros!$D$20</f>
        <v>367.65</v>
      </c>
    </row>
    <row r="8" customFormat="false" ht="15" hidden="false" customHeight="false" outlineLevel="0" collapsed="false">
      <c r="A8" s="5" t="n">
        <v>4</v>
      </c>
      <c r="B8" s="16" t="n">
        <f aca="false">INDEX(Curvas!$B$14:$B$112,MATCH(A8-1,Curvas!$A$14:$A$112,0))</f>
        <v>1990</v>
      </c>
      <c r="C8" s="16" t="n">
        <f aca="false">INDEX(Curvas!$B$14:$B$112,MATCH(A8,Curvas!$A$14:$A$112,0))-B8</f>
        <v>1570</v>
      </c>
      <c r="D8" s="16" t="n">
        <f aca="false">ROUND(B8*Parâmetros!$B$5,0)</f>
        <v>1990</v>
      </c>
      <c r="E8" s="16" t="n">
        <f aca="false">ROUND(C8*Parâmetros!$B$5,0)</f>
        <v>1570</v>
      </c>
      <c r="F8" s="24" t="n">
        <f aca="false">INDEX(Curvas!$G$14:$G$112,MATCH(A8,Curvas!$A$14:$A$112,0))*Parâmetros!$B$6</f>
        <v>54.09</v>
      </c>
      <c r="G8" s="16" t="n">
        <f aca="false">C8/F8</f>
        <v>29.0256979108893</v>
      </c>
      <c r="H8" s="16" t="n">
        <f aca="false">E8/F8</f>
        <v>29.0256979108893</v>
      </c>
      <c r="I8" s="16" t="n">
        <f aca="false">INDEX(Curvas!$G$14:$G$112,MATCH(A8+Parâmetros!$B$17,Curvas!$A$14:$A$112,0))*Parâmetros!$B$6*Parâmetros!$D$17</f>
        <v>220.59</v>
      </c>
      <c r="J8" s="16" t="n">
        <f aca="false">INDEX(Curvas!$G$14:$G$112,MATCH(A8+Parâmetros!$B$19,Curvas!$A$14:$A$112,0))*Parâmetros!$B$6*Parâmetros!$D$19</f>
        <v>418.05</v>
      </c>
      <c r="K8" s="16" t="n">
        <f aca="false">INDEX(Curvas!$G$14:$G$112,MATCH(A8+Parâmetros!$B$20,Curvas!$A$14:$A$112,0))*Parâmetros!$B$6*Parâmetros!$D$20</f>
        <v>418.05</v>
      </c>
    </row>
    <row r="9" customFormat="false" ht="15" hidden="false" customHeight="false" outlineLevel="0" collapsed="false">
      <c r="A9" s="5" t="n">
        <v>5</v>
      </c>
      <c r="B9" s="16" t="n">
        <f aca="false">INDEX(Curvas!$B$14:$B$112,MATCH(A9-1,Curvas!$A$14:$A$112,0))</f>
        <v>3560</v>
      </c>
      <c r="C9" s="16" t="n">
        <f aca="false">INDEX(Curvas!$B$14:$B$112,MATCH(A9,Curvas!$A$14:$A$112,0))-B9</f>
        <v>2220</v>
      </c>
      <c r="D9" s="16" t="n">
        <f aca="false">ROUND(B9*Parâmetros!$B$5,0)</f>
        <v>3560</v>
      </c>
      <c r="E9" s="16" t="n">
        <f aca="false">ROUND(C9*Parâmetros!$B$5,0)</f>
        <v>2220</v>
      </c>
      <c r="F9" s="24" t="n">
        <f aca="false">INDEX(Curvas!$G$14:$G$112,MATCH(A9,Curvas!$A$14:$A$112,0))*Parâmetros!$B$6</f>
        <v>63.72</v>
      </c>
      <c r="G9" s="16" t="n">
        <f aca="false">C9/F9</f>
        <v>34.8399246704332</v>
      </c>
      <c r="H9" s="16" t="n">
        <f aca="false">E9/F9</f>
        <v>34.8399246704332</v>
      </c>
      <c r="I9" s="16" t="n">
        <f aca="false">INDEX(Curvas!$G$14:$G$112,MATCH(A9+Parâmetros!$B$17,Curvas!$A$14:$A$112,0))*Parâmetros!$B$6*Parâmetros!$D$17</f>
        <v>250.83</v>
      </c>
      <c r="J9" s="16" t="n">
        <f aca="false">INDEX(Curvas!$G$14:$G$112,MATCH(A9+Parâmetros!$B$19,Curvas!$A$14:$A$112,0))*Parâmetros!$B$6*Parâmetros!$D$19</f>
        <v>470.7</v>
      </c>
      <c r="K9" s="16" t="n">
        <f aca="false">INDEX(Curvas!$G$14:$G$112,MATCH(A9+Parâmetros!$B$20,Curvas!$A$14:$A$112,0))*Parâmetros!$B$6*Parâmetros!$D$20</f>
        <v>470.7</v>
      </c>
    </row>
    <row r="10" customFormat="false" ht="15" hidden="false" customHeight="false" outlineLevel="0" collapsed="false">
      <c r="A10" s="5" t="n">
        <v>6</v>
      </c>
      <c r="B10" s="16" t="n">
        <f aca="false">INDEX(Curvas!$B$14:$B$112,MATCH(A10-1,Curvas!$A$14:$A$112,0))</f>
        <v>5780</v>
      </c>
      <c r="C10" s="16" t="n">
        <f aca="false">INDEX(Curvas!$B$14:$B$112,MATCH(A10,Curvas!$A$14:$A$112,0))-B10</f>
        <v>3020</v>
      </c>
      <c r="D10" s="16" t="n">
        <f aca="false">ROUND(B10*Parâmetros!$B$5,0)</f>
        <v>5780</v>
      </c>
      <c r="E10" s="16" t="n">
        <f aca="false">ROUND(C10*Parâmetros!$B$5,0)</f>
        <v>3020</v>
      </c>
      <c r="F10" s="24" t="n">
        <f aca="false">INDEX(Curvas!$G$14:$G$112,MATCH(A10,Curvas!$A$14:$A$112,0))*Parâmetros!$B$6</f>
        <v>73.53</v>
      </c>
      <c r="G10" s="16" t="n">
        <f aca="false">C10/F10</f>
        <v>41.0716714266286</v>
      </c>
      <c r="H10" s="16" t="n">
        <f aca="false">E10/F10</f>
        <v>41.0716714266286</v>
      </c>
      <c r="I10" s="16" t="n">
        <f aca="false">INDEX(Curvas!$G$14:$G$112,MATCH(A10+Parâmetros!$B$17,Curvas!$A$14:$A$112,0))*Parâmetros!$B$6*Parâmetros!$D$17</f>
        <v>282.42</v>
      </c>
      <c r="J10" s="16" t="n">
        <f aca="false">INDEX(Curvas!$G$14:$G$112,MATCH(A10+Parâmetros!$B$19,Curvas!$A$14:$A$112,0))*Parâmetros!$B$6*Parâmetros!$D$19</f>
        <v>526.05</v>
      </c>
      <c r="K10" s="16" t="n">
        <f aca="false">INDEX(Curvas!$G$14:$G$112,MATCH(A10+Parâmetros!$B$20,Curvas!$A$14:$A$112,0))*Parâmetros!$B$6*Parâmetros!$D$20</f>
        <v>526.05</v>
      </c>
    </row>
    <row r="11" customFormat="false" ht="15" hidden="false" customHeight="false" outlineLevel="0" collapsed="false">
      <c r="A11" s="5" t="n">
        <v>7</v>
      </c>
      <c r="B11" s="16" t="n">
        <f aca="false">INDEX(Curvas!$B$14:$B$112,MATCH(A11-1,Curvas!$A$14:$A$112,0))</f>
        <v>8800</v>
      </c>
      <c r="C11" s="16" t="n">
        <f aca="false">INDEX(Curvas!$B$14:$B$112,MATCH(A11,Curvas!$A$14:$A$112,0))-B11</f>
        <v>4010</v>
      </c>
      <c r="D11" s="16" t="n">
        <f aca="false">ROUND(B11*Parâmetros!$B$5,0)</f>
        <v>8800</v>
      </c>
      <c r="E11" s="16" t="n">
        <f aca="false">ROUND(C11*Parâmetros!$B$5,0)</f>
        <v>4010</v>
      </c>
      <c r="F11" s="24" t="n">
        <f aca="false">INDEX(Curvas!$G$14:$G$112,MATCH(A11,Curvas!$A$14:$A$112,0))*Parâmetros!$B$6</f>
        <v>83.61</v>
      </c>
      <c r="G11" s="16" t="n">
        <f aca="false">C11/F11</f>
        <v>47.9607702427939</v>
      </c>
      <c r="H11" s="16" t="n">
        <f aca="false">E11/F11</f>
        <v>47.9607702427939</v>
      </c>
      <c r="I11" s="16" t="n">
        <f aca="false">INDEX(Curvas!$G$14:$G$112,MATCH(A11+Parâmetros!$B$17,Curvas!$A$14:$A$112,0))*Parâmetros!$B$6*Parâmetros!$D$17</f>
        <v>315.63</v>
      </c>
      <c r="J11" s="16" t="n">
        <f aca="false">INDEX(Curvas!$G$14:$G$112,MATCH(A11+Parâmetros!$B$19,Curvas!$A$14:$A$112,0))*Parâmetros!$B$6*Parâmetros!$D$19</f>
        <v>583.65</v>
      </c>
      <c r="K11" s="16" t="n">
        <f aca="false">INDEX(Curvas!$G$14:$G$112,MATCH(A11+Parâmetros!$B$20,Curvas!$A$14:$A$112,0))*Parâmetros!$B$6*Parâmetros!$D$20</f>
        <v>583.65</v>
      </c>
    </row>
    <row r="12" customFormat="false" ht="15" hidden="false" customHeight="false" outlineLevel="0" collapsed="false">
      <c r="A12" s="5" t="n">
        <v>8</v>
      </c>
      <c r="B12" s="16" t="n">
        <f aca="false">INDEX(Curvas!$B$14:$B$112,MATCH(A12-1,Curvas!$A$14:$A$112,0))</f>
        <v>12810</v>
      </c>
      <c r="C12" s="16" t="n">
        <f aca="false">INDEX(Curvas!$B$14:$B$112,MATCH(A12,Curvas!$A$14:$A$112,0))-B12</f>
        <v>5240</v>
      </c>
      <c r="D12" s="16" t="n">
        <f aca="false">ROUND(B12*Parâmetros!$B$5,0)</f>
        <v>12810</v>
      </c>
      <c r="E12" s="16" t="n">
        <f aca="false">ROUND(C12*Parâmetros!$B$5,0)</f>
        <v>5240</v>
      </c>
      <c r="F12" s="24" t="n">
        <f aca="false">INDEX(Curvas!$G$14:$G$112,MATCH(A12,Curvas!$A$14:$A$112,0))*Parâmetros!$B$6</f>
        <v>94.14</v>
      </c>
      <c r="G12" s="16" t="n">
        <f aca="false">C12/F12</f>
        <v>55.6617803271723</v>
      </c>
      <c r="H12" s="16" t="n">
        <f aca="false">E12/F12</f>
        <v>55.6617803271723</v>
      </c>
      <c r="I12" s="16" t="n">
        <f aca="false">INDEX(Curvas!$G$14:$G$112,MATCH(A12+Parâmetros!$B$17,Curvas!$A$14:$A$112,0))*Parâmetros!$B$6*Parâmetros!$D$17</f>
        <v>350.19</v>
      </c>
      <c r="J12" s="16" t="n">
        <f aca="false">INDEX(Curvas!$G$14:$G$112,MATCH(A12+Parâmetros!$B$19,Curvas!$A$14:$A$112,0))*Parâmetros!$B$6*Parâmetros!$D$19</f>
        <v>644.4</v>
      </c>
      <c r="K12" s="16" t="n">
        <f aca="false">INDEX(Curvas!$G$14:$G$112,MATCH(A12+Parâmetros!$B$20,Curvas!$A$14:$A$112,0))*Parâmetros!$B$6*Parâmetros!$D$20</f>
        <v>644.4</v>
      </c>
    </row>
    <row r="13" customFormat="false" ht="15" hidden="false" customHeight="false" outlineLevel="0" collapsed="false">
      <c r="A13" s="5" t="n">
        <v>9</v>
      </c>
      <c r="B13" s="16" t="n">
        <f aca="false">INDEX(Curvas!$B$14:$B$112,MATCH(A13-1,Curvas!$A$14:$A$112,0))</f>
        <v>18050</v>
      </c>
      <c r="C13" s="16" t="n">
        <f aca="false">INDEX(Curvas!$B$14:$B$112,MATCH(A13,Curvas!$A$14:$A$112,0))-B13</f>
        <v>6750</v>
      </c>
      <c r="D13" s="16" t="n">
        <f aca="false">ROUND(B13*Parâmetros!$B$5,0)</f>
        <v>18050</v>
      </c>
      <c r="E13" s="16" t="n">
        <f aca="false">ROUND(C13*Parâmetros!$B$5,0)</f>
        <v>6750</v>
      </c>
      <c r="F13" s="24" t="n">
        <f aca="false">INDEX(Curvas!$G$14:$G$112,MATCH(A13,Curvas!$A$14:$A$112,0))*Parâmetros!$B$6</f>
        <v>105.21</v>
      </c>
      <c r="G13" s="16" t="n">
        <f aca="false">C13/F13</f>
        <v>64.1573994867408</v>
      </c>
      <c r="H13" s="16" t="n">
        <f aca="false">E13/F13</f>
        <v>64.1573994867408</v>
      </c>
      <c r="I13" s="16" t="n">
        <f aca="false">INDEX(Curvas!$G$14:$G$112,MATCH(A13+Parâmetros!$B$17,Curvas!$A$14:$A$112,0))*Parâmetros!$B$6*Parâmetros!$D$17</f>
        <v>386.64</v>
      </c>
      <c r="J13" s="16" t="n">
        <f aca="false">INDEX(Curvas!$G$14:$G$112,MATCH(A13+Parâmetros!$B$19,Curvas!$A$14:$A$112,0))*Parâmetros!$B$6*Parâmetros!$D$19</f>
        <v>708.75</v>
      </c>
      <c r="K13" s="16" t="n">
        <f aca="false">INDEX(Curvas!$G$14:$G$112,MATCH(A13+Parâmetros!$B$20,Curvas!$A$14:$A$112,0))*Parâmetros!$B$6*Parâmetros!$D$20</f>
        <v>708.75</v>
      </c>
    </row>
    <row r="14" customFormat="false" ht="15" hidden="false" customHeight="false" outlineLevel="0" collapsed="false">
      <c r="A14" s="5" t="n">
        <v>10</v>
      </c>
      <c r="B14" s="16" t="n">
        <f aca="false">INDEX(Curvas!$B$14:$B$112,MATCH(A14-1,Curvas!$A$14:$A$112,0))</f>
        <v>24800</v>
      </c>
      <c r="C14" s="16" t="n">
        <f aca="false">INDEX(Curvas!$B$14:$B$112,MATCH(A14,Curvas!$A$14:$A$112,0))-B14</f>
        <v>8600</v>
      </c>
      <c r="D14" s="16" t="n">
        <f aca="false">ROUND(B14*Parâmetros!$B$5,0)</f>
        <v>24800</v>
      </c>
      <c r="E14" s="16" t="n">
        <f aca="false">ROUND(C14*Parâmetros!$B$5,0)</f>
        <v>8600</v>
      </c>
      <c r="F14" s="24" t="n">
        <f aca="false">INDEX(Curvas!$G$14:$G$112,MATCH(A14,Curvas!$A$14:$A$112,0))*Parâmetros!$B$6</f>
        <v>116.73</v>
      </c>
      <c r="G14" s="16" t="n">
        <f aca="false">C14/F14</f>
        <v>73.6742910991176</v>
      </c>
      <c r="H14" s="16" t="n">
        <f aca="false">E14/F14</f>
        <v>73.6742910991176</v>
      </c>
      <c r="I14" s="16" t="n">
        <f aca="false">INDEX(Curvas!$G$14:$G$112,MATCH(A14+Parâmetros!$B$17,Curvas!$A$14:$A$112,0))*Parâmetros!$B$6*Parâmetros!$D$17</f>
        <v>425.25</v>
      </c>
      <c r="J14" s="16" t="n">
        <f aca="false">INDEX(Curvas!$G$14:$G$112,MATCH(A14+Parâmetros!$B$19,Curvas!$A$14:$A$112,0))*Parâmetros!$B$6*Parâmetros!$D$19</f>
        <v>776.7</v>
      </c>
      <c r="K14" s="16" t="n">
        <f aca="false">INDEX(Curvas!$G$14:$G$112,MATCH(A14+Parâmetros!$B$20,Curvas!$A$14:$A$112,0))*Parâmetros!$B$6*Parâmetros!$D$20</f>
        <v>776.7</v>
      </c>
    </row>
    <row r="15" customFormat="false" ht="15" hidden="false" customHeight="false" outlineLevel="0" collapsed="false">
      <c r="A15" s="5" t="n">
        <v>11</v>
      </c>
      <c r="B15" s="16" t="n">
        <f aca="false">INDEX(Curvas!$B$14:$B$112,MATCH(A15-1,Curvas!$A$14:$A$112,0))</f>
        <v>33400</v>
      </c>
      <c r="C15" s="16" t="n">
        <f aca="false">INDEX(Curvas!$B$14:$B$112,MATCH(A15,Curvas!$A$14:$A$112,0))-B15</f>
        <v>10870</v>
      </c>
      <c r="D15" s="16" t="n">
        <f aca="false">ROUND(B15*Parâmetros!$B$5,0)</f>
        <v>33400</v>
      </c>
      <c r="E15" s="16" t="n">
        <f aca="false">ROUND(C15*Parâmetros!$B$5,0)</f>
        <v>10870</v>
      </c>
      <c r="F15" s="24" t="n">
        <f aca="false">INDEX(Curvas!$G$14:$G$112,MATCH(A15,Curvas!$A$14:$A$112,0))*Parâmetros!$B$6</f>
        <v>128.88</v>
      </c>
      <c r="G15" s="16" t="n">
        <f aca="false">C15/F15</f>
        <v>84.3420235878337</v>
      </c>
      <c r="H15" s="16" t="n">
        <f aca="false">E15/F15</f>
        <v>84.3420235878337</v>
      </c>
      <c r="I15" s="16" t="n">
        <f aca="false">INDEX(Curvas!$G$14:$G$112,MATCH(A15+Parâmetros!$B$17,Curvas!$A$14:$A$112,0))*Parâmetros!$B$6*Parâmetros!$D$17</f>
        <v>466.02</v>
      </c>
      <c r="J15" s="16" t="n">
        <f aca="false">INDEX(Curvas!$G$14:$G$112,MATCH(A15+Parâmetros!$B$19,Curvas!$A$14:$A$112,0))*Parâmetros!$B$6*Parâmetros!$D$19</f>
        <v>848.7</v>
      </c>
      <c r="K15" s="16" t="n">
        <f aca="false">INDEX(Curvas!$G$14:$G$112,MATCH(A15+Parâmetros!$B$20,Curvas!$A$14:$A$112,0))*Parâmetros!$B$6*Parâmetros!$D$20</f>
        <v>848.7</v>
      </c>
    </row>
    <row r="16" customFormat="false" ht="15" hidden="false" customHeight="false" outlineLevel="0" collapsed="false">
      <c r="A16" s="5" t="n">
        <v>12</v>
      </c>
      <c r="B16" s="16" t="n">
        <f aca="false">INDEX(Curvas!$B$14:$B$112,MATCH(A16-1,Curvas!$A$14:$A$112,0))</f>
        <v>44270</v>
      </c>
      <c r="C16" s="16" t="n">
        <f aca="false">INDEX(Curvas!$B$14:$B$112,MATCH(A16,Curvas!$A$14:$A$112,0))-B16</f>
        <v>13630</v>
      </c>
      <c r="D16" s="16" t="n">
        <f aca="false">ROUND(B16*Parâmetros!$B$5,0)</f>
        <v>44270</v>
      </c>
      <c r="E16" s="16" t="n">
        <f aca="false">ROUND(C16*Parâmetros!$B$5,0)</f>
        <v>13630</v>
      </c>
      <c r="F16" s="24" t="n">
        <f aca="false">INDEX(Curvas!$G$14:$G$112,MATCH(A16,Curvas!$A$14:$A$112,0))*Parâmetros!$B$6</f>
        <v>141.75</v>
      </c>
      <c r="G16" s="16" t="n">
        <f aca="false">C16/F16</f>
        <v>96.1552028218695</v>
      </c>
      <c r="H16" s="16" t="n">
        <f aca="false">E16/F16</f>
        <v>96.1552028218695</v>
      </c>
      <c r="I16" s="16" t="n">
        <f aca="false">INDEX(Curvas!$G$14:$G$112,MATCH(A16+Parâmetros!$B$17,Curvas!$A$14:$A$112,0))*Parâmetros!$B$6*Parâmetros!$D$17</f>
        <v>509.22</v>
      </c>
      <c r="J16" s="16" t="n">
        <f aca="false">INDEX(Curvas!$G$14:$G$112,MATCH(A16+Parâmetros!$B$19,Curvas!$A$14:$A$112,0))*Parâmetros!$B$6*Parâmetros!$D$19</f>
        <v>924.75</v>
      </c>
      <c r="K16" s="16" t="n">
        <f aca="false">INDEX(Curvas!$G$14:$G$112,MATCH(A16+Parâmetros!$B$20,Curvas!$A$14:$A$112,0))*Parâmetros!$B$6*Parâmetros!$D$20</f>
        <v>924.75</v>
      </c>
    </row>
    <row r="17" customFormat="false" ht="15" hidden="false" customHeight="false" outlineLevel="0" collapsed="false">
      <c r="A17" s="5" t="n">
        <v>13</v>
      </c>
      <c r="B17" s="16" t="n">
        <f aca="false">INDEX(Curvas!$B$14:$B$112,MATCH(A17-1,Curvas!$A$14:$A$112,0))</f>
        <v>57900</v>
      </c>
      <c r="C17" s="16" t="n">
        <f aca="false">INDEX(Curvas!$B$14:$B$112,MATCH(A17,Curvas!$A$14:$A$112,0))-B17</f>
        <v>17000</v>
      </c>
      <c r="D17" s="16" t="n">
        <f aca="false">ROUND(B17*Parâmetros!$B$5,0)</f>
        <v>57900</v>
      </c>
      <c r="E17" s="16" t="n">
        <f aca="false">ROUND(C17*Parâmetros!$B$5,0)</f>
        <v>17000</v>
      </c>
      <c r="F17" s="24" t="n">
        <f aca="false">INDEX(Curvas!$G$14:$G$112,MATCH(A17,Curvas!$A$14:$A$112,0))*Parâmetros!$B$6</f>
        <v>155.34</v>
      </c>
      <c r="G17" s="16" t="n">
        <f aca="false">C17/F17</f>
        <v>109.437363203296</v>
      </c>
      <c r="H17" s="16" t="n">
        <f aca="false">E17/F17</f>
        <v>109.437363203296</v>
      </c>
      <c r="I17" s="16" t="n">
        <f aca="false">INDEX(Curvas!$G$14:$G$112,MATCH(A17+Parâmetros!$B$17,Curvas!$A$14:$A$112,0))*Parâmetros!$B$6*Parâmetros!$D$17</f>
        <v>554.85</v>
      </c>
      <c r="J17" s="16" t="n">
        <f aca="false">INDEX(Curvas!$G$14:$G$112,MATCH(A17+Parâmetros!$B$19,Curvas!$A$14:$A$112,0))*Parâmetros!$B$6*Parâmetros!$D$19</f>
        <v>1005.3</v>
      </c>
      <c r="K17" s="16" t="n">
        <f aca="false">INDEX(Curvas!$G$14:$G$112,MATCH(A17+Parâmetros!$B$20,Curvas!$A$14:$A$112,0))*Parâmetros!$B$6*Parâmetros!$D$20</f>
        <v>1005.3</v>
      </c>
    </row>
    <row r="18" customFormat="false" ht="15" hidden="false" customHeight="false" outlineLevel="0" collapsed="false">
      <c r="A18" s="5" t="n">
        <v>14</v>
      </c>
      <c r="B18" s="16" t="n">
        <f aca="false">INDEX(Curvas!$B$14:$B$112,MATCH(A18-1,Curvas!$A$14:$A$112,0))</f>
        <v>74900</v>
      </c>
      <c r="C18" s="16" t="n">
        <f aca="false">INDEX(Curvas!$B$14:$B$112,MATCH(A18,Curvas!$A$14:$A$112,0))-B18</f>
        <v>21090</v>
      </c>
      <c r="D18" s="16" t="n">
        <f aca="false">ROUND(B18*Parâmetros!$B$5,0)</f>
        <v>74900</v>
      </c>
      <c r="E18" s="16" t="n">
        <f aca="false">ROUND(C18*Parâmetros!$B$5,0)</f>
        <v>21090</v>
      </c>
      <c r="F18" s="24" t="n">
        <f aca="false">INDEX(Curvas!$G$14:$G$112,MATCH(A18,Curvas!$A$14:$A$112,0))*Parâmetros!$B$6</f>
        <v>169.74</v>
      </c>
      <c r="G18" s="16" t="n">
        <f aca="false">C18/F18</f>
        <v>124.248851184164</v>
      </c>
      <c r="H18" s="16" t="n">
        <f aca="false">E18/F18</f>
        <v>124.248851184164</v>
      </c>
      <c r="I18" s="16" t="n">
        <f aca="false">INDEX(Curvas!$G$14:$G$112,MATCH(A18+Parâmetros!$B$17,Curvas!$A$14:$A$112,0))*Parâmetros!$B$6*Parâmetros!$D$17</f>
        <v>603.18</v>
      </c>
      <c r="J18" s="16" t="n">
        <f aca="false">INDEX(Curvas!$G$14:$G$112,MATCH(A18+Parâmetros!$B$19,Curvas!$A$14:$A$112,0))*Parâmetros!$B$6*Parâmetros!$D$19</f>
        <v>1090.8</v>
      </c>
      <c r="K18" s="16" t="n">
        <f aca="false">INDEX(Curvas!$G$14:$G$112,MATCH(A18+Parâmetros!$B$20,Curvas!$A$14:$A$112,0))*Parâmetros!$B$6*Parâmetros!$D$20</f>
        <v>1090.8</v>
      </c>
    </row>
    <row r="19" customFormat="false" ht="15" hidden="false" customHeight="false" outlineLevel="0" collapsed="false">
      <c r="A19" s="5" t="n">
        <v>15</v>
      </c>
      <c r="B19" s="16" t="n">
        <f aca="false">INDEX(Curvas!$B$14:$B$112,MATCH(A19-1,Curvas!$A$14:$A$112,0))</f>
        <v>95990</v>
      </c>
      <c r="C19" s="16" t="n">
        <f aca="false">INDEX(Curvas!$B$14:$B$112,MATCH(A19,Curvas!$A$14:$A$112,0))-B19</f>
        <v>26040</v>
      </c>
      <c r="D19" s="16" t="n">
        <f aca="false">ROUND(B19*Parâmetros!$B$5,0)</f>
        <v>95990</v>
      </c>
      <c r="E19" s="16" t="n">
        <f aca="false">ROUND(C19*Parâmetros!$B$5,0)</f>
        <v>26040</v>
      </c>
      <c r="F19" s="24" t="n">
        <f aca="false">INDEX(Curvas!$G$14:$G$112,MATCH(A19,Curvas!$A$14:$A$112,0))*Parâmetros!$B$6</f>
        <v>184.95</v>
      </c>
      <c r="G19" s="16" t="n">
        <f aca="false">C19/F19</f>
        <v>140.794809407948</v>
      </c>
      <c r="H19" s="16" t="n">
        <f aca="false">E19/F19</f>
        <v>140.794809407948</v>
      </c>
      <c r="I19" s="16" t="n">
        <f aca="false">INDEX(Curvas!$G$14:$G$112,MATCH(A19+Parâmetros!$B$17,Curvas!$A$14:$A$112,0))*Parâmetros!$B$6*Parâmetros!$D$17</f>
        <v>654.48</v>
      </c>
      <c r="J19" s="16" t="n">
        <f aca="false">INDEX(Curvas!$G$14:$G$112,MATCH(A19+Parâmetros!$B$19,Curvas!$A$14:$A$112,0))*Parâmetros!$B$6*Parâmetros!$D$19</f>
        <v>1181.7</v>
      </c>
      <c r="K19" s="16" t="n">
        <f aca="false">INDEX(Curvas!$G$14:$G$112,MATCH(A19+Parâmetros!$B$20,Curvas!$A$14:$A$112,0))*Parâmetros!$B$6*Parâmetros!$D$20</f>
        <v>1181.7</v>
      </c>
    </row>
    <row r="20" customFormat="false" ht="15" hidden="false" customHeight="false" outlineLevel="0" collapsed="false">
      <c r="A20" s="5" t="n">
        <v>16</v>
      </c>
      <c r="B20" s="16" t="n">
        <f aca="false">INDEX(Curvas!$B$14:$B$112,MATCH(A20-1,Curvas!$A$14:$A$112,0))</f>
        <v>122030</v>
      </c>
      <c r="C20" s="16" t="n">
        <f aca="false">INDEX(Curvas!$B$14:$B$112,MATCH(A20,Curvas!$A$14:$A$112,0))-B20</f>
        <v>32050</v>
      </c>
      <c r="D20" s="16" t="n">
        <f aca="false">ROUND(B20*Parâmetros!$B$5,0)</f>
        <v>122030</v>
      </c>
      <c r="E20" s="16" t="n">
        <f aca="false">ROUND(C20*Parâmetros!$B$5,0)</f>
        <v>32050</v>
      </c>
      <c r="F20" s="24" t="n">
        <f aca="false">INDEX(Curvas!$G$14:$G$112,MATCH(A20,Curvas!$A$14:$A$112,0))*Parâmetros!$B$6</f>
        <v>201.06</v>
      </c>
      <c r="G20" s="16" t="n">
        <f aca="false">C20/F20</f>
        <v>159.405152690739</v>
      </c>
      <c r="H20" s="16" t="n">
        <f aca="false">E20/F20</f>
        <v>159.405152690739</v>
      </c>
      <c r="I20" s="16" t="n">
        <f aca="false">INDEX(Curvas!$G$14:$G$112,MATCH(A20+Parâmetros!$B$17,Curvas!$A$14:$A$112,0))*Parâmetros!$B$6*Parâmetros!$D$17</f>
        <v>709.02</v>
      </c>
      <c r="J20" s="16" t="n">
        <f aca="false">INDEX(Curvas!$G$14:$G$112,MATCH(A20+Parâmetros!$B$19,Curvas!$A$14:$A$112,0))*Parâmetros!$B$6*Parâmetros!$D$19</f>
        <v>1278</v>
      </c>
      <c r="K20" s="16" t="n">
        <f aca="false">INDEX(Curvas!$G$14:$G$112,MATCH(A20+Parâmetros!$B$20,Curvas!$A$14:$A$112,0))*Parâmetros!$B$6*Parâmetros!$D$20</f>
        <v>1278</v>
      </c>
    </row>
    <row r="21" customFormat="false" ht="15" hidden="false" customHeight="false" outlineLevel="0" collapsed="false">
      <c r="A21" s="5" t="n">
        <v>17</v>
      </c>
      <c r="B21" s="16" t="n">
        <f aca="false">INDEX(Curvas!$B$14:$B$112,MATCH(A21-1,Curvas!$A$14:$A$112,0))</f>
        <v>154080</v>
      </c>
      <c r="C21" s="16" t="n">
        <f aca="false">INDEX(Curvas!$B$14:$B$112,MATCH(A21,Curvas!$A$14:$A$112,0))-B21</f>
        <v>39300</v>
      </c>
      <c r="D21" s="16" t="n">
        <f aca="false">ROUND(B21*Parâmetros!$B$5,0)</f>
        <v>154080</v>
      </c>
      <c r="E21" s="16" t="n">
        <f aca="false">ROUND(C21*Parâmetros!$B$5,0)</f>
        <v>39300</v>
      </c>
      <c r="F21" s="24" t="n">
        <f aca="false">INDEX(Curvas!$G$14:$G$112,MATCH(A21,Curvas!$A$14:$A$112,0))*Parâmetros!$B$6</f>
        <v>218.16</v>
      </c>
      <c r="G21" s="16" t="n">
        <f aca="false">C21/F21</f>
        <v>180.14301430143</v>
      </c>
      <c r="H21" s="16" t="n">
        <f aca="false">E21/F21</f>
        <v>180.14301430143</v>
      </c>
      <c r="I21" s="16" t="n">
        <f aca="false">INDEX(Curvas!$G$14:$G$112,MATCH(A21+Parâmetros!$B$17,Curvas!$A$14:$A$112,0))*Parâmetros!$B$6*Parâmetros!$D$17</f>
        <v>766.8</v>
      </c>
      <c r="J21" s="16" t="n">
        <f aca="false">INDEX(Curvas!$G$14:$G$112,MATCH(A21+Parâmetros!$B$19,Curvas!$A$14:$A$112,0))*Parâmetros!$B$6*Parâmetros!$D$19</f>
        <v>1380.15</v>
      </c>
      <c r="K21" s="16" t="n">
        <f aca="false">INDEX(Curvas!$G$14:$G$112,MATCH(A21+Parâmetros!$B$20,Curvas!$A$14:$A$112,0))*Parâmetros!$B$6*Parâmetros!$D$20</f>
        <v>1380.15</v>
      </c>
    </row>
    <row r="22" customFormat="false" ht="15" hidden="false" customHeight="false" outlineLevel="0" collapsed="false">
      <c r="A22" s="5" t="n">
        <v>18</v>
      </c>
      <c r="B22" s="16" t="n">
        <f aca="false">INDEX(Curvas!$B$14:$B$112,MATCH(A22-1,Curvas!$A$14:$A$112,0))</f>
        <v>193380</v>
      </c>
      <c r="C22" s="16" t="n">
        <f aca="false">INDEX(Curvas!$B$14:$B$112,MATCH(A22,Curvas!$A$14:$A$112,0))-B22</f>
        <v>48050</v>
      </c>
      <c r="D22" s="16" t="n">
        <f aca="false">ROUND(B22*Parâmetros!$B$5,0)</f>
        <v>193380</v>
      </c>
      <c r="E22" s="16" t="n">
        <f aca="false">ROUND(C22*Parâmetros!$B$5,0)</f>
        <v>48050</v>
      </c>
      <c r="F22" s="24" t="n">
        <f aca="false">INDEX(Curvas!$G$14:$G$112,MATCH(A22,Curvas!$A$14:$A$112,0))*Parâmetros!$B$6</f>
        <v>236.34</v>
      </c>
      <c r="G22" s="16" t="n">
        <f aca="false">C22/F22</f>
        <v>203.308792417703</v>
      </c>
      <c r="H22" s="16" t="n">
        <f aca="false">E22/F22</f>
        <v>203.308792417703</v>
      </c>
      <c r="I22" s="16" t="n">
        <f aca="false">INDEX(Curvas!$G$14:$G$112,MATCH(A22+Parâmetros!$B$17,Curvas!$A$14:$A$112,0))*Parâmetros!$B$6*Parâmetros!$D$17</f>
        <v>828.09</v>
      </c>
      <c r="J22" s="16" t="n">
        <f aca="false">INDEX(Curvas!$G$14:$G$112,MATCH(A22+Parâmetros!$B$19,Curvas!$A$14:$A$112,0))*Parâmetros!$B$6*Parâmetros!$D$19</f>
        <v>1488.6</v>
      </c>
      <c r="K22" s="16" t="n">
        <f aca="false">INDEX(Curvas!$G$14:$G$112,MATCH(A22+Parâmetros!$B$20,Curvas!$A$14:$A$112,0))*Parâmetros!$B$6*Parâmetros!$D$20</f>
        <v>1488.6</v>
      </c>
    </row>
    <row r="23" customFormat="false" ht="15" hidden="false" customHeight="false" outlineLevel="0" collapsed="false">
      <c r="A23" s="5" t="n">
        <v>19</v>
      </c>
      <c r="B23" s="16" t="n">
        <f aca="false">INDEX(Curvas!$B$14:$B$112,MATCH(A23-1,Curvas!$A$14:$A$112,0))</f>
        <v>241430</v>
      </c>
      <c r="C23" s="16" t="n">
        <f aca="false">INDEX(Curvas!$B$14:$B$112,MATCH(A23,Curvas!$A$14:$A$112,0))-B23</f>
        <v>58590</v>
      </c>
      <c r="D23" s="16" t="n">
        <f aca="false">ROUND(B23*Parâmetros!$B$5,0)</f>
        <v>241430</v>
      </c>
      <c r="E23" s="16" t="n">
        <f aca="false">ROUND(C23*Parâmetros!$B$5,0)</f>
        <v>58590</v>
      </c>
      <c r="F23" s="24" t="n">
        <f aca="false">INDEX(Curvas!$G$14:$G$112,MATCH(A23,Curvas!$A$14:$A$112,0))*Parâmetros!$B$6</f>
        <v>255.6</v>
      </c>
      <c r="G23" s="16" t="n">
        <f aca="false">C23/F23</f>
        <v>229.225352112676</v>
      </c>
      <c r="H23" s="16" t="n">
        <f aca="false">E23/F23</f>
        <v>229.225352112676</v>
      </c>
      <c r="I23" s="16" t="n">
        <f aca="false">INDEX(Curvas!$G$14:$G$112,MATCH(A23+Parâmetros!$B$17,Curvas!$A$14:$A$112,0))*Parâmetros!$B$6*Parâmetros!$D$17</f>
        <v>893.16</v>
      </c>
      <c r="J23" s="16" t="n">
        <f aca="false">INDEX(Curvas!$G$14:$G$112,MATCH(A23+Parâmetros!$B$19,Curvas!$A$14:$A$112,0))*Parâmetros!$B$6*Parâmetros!$D$19</f>
        <v>1603.8</v>
      </c>
      <c r="K23" s="16" t="n">
        <f aca="false">INDEX(Curvas!$G$14:$G$112,MATCH(A23+Parâmetros!$B$20,Curvas!$A$14:$A$112,0))*Parâmetros!$B$6*Parâmetros!$D$20</f>
        <v>1603.8</v>
      </c>
    </row>
    <row r="24" customFormat="false" ht="15" hidden="false" customHeight="false" outlineLevel="0" collapsed="false">
      <c r="A24" s="5" t="n">
        <v>20</v>
      </c>
      <c r="B24" s="16" t="n">
        <f aca="false">INDEX(Curvas!$B$14:$B$112,MATCH(A24-1,Curvas!$A$14:$A$112,0))</f>
        <v>300020</v>
      </c>
      <c r="C24" s="16" t="n">
        <f aca="false">INDEX(Curvas!$B$14:$B$112,MATCH(A24,Curvas!$A$14:$A$112,0))-B24</f>
        <v>71270</v>
      </c>
      <c r="D24" s="16" t="n">
        <f aca="false">ROUND(B24*Parâmetros!$B$5,0)</f>
        <v>300020</v>
      </c>
      <c r="E24" s="16" t="n">
        <f aca="false">ROUND(C24*Parâmetros!$B$5,0)</f>
        <v>71270</v>
      </c>
      <c r="F24" s="24" t="n">
        <f aca="false">INDEX(Curvas!$G$14:$G$112,MATCH(A24,Curvas!$A$14:$A$112,0))*Parâmetros!$B$6</f>
        <v>276.03</v>
      </c>
      <c r="G24" s="16" t="n">
        <f aca="false">C24/F24</f>
        <v>258.196572836286</v>
      </c>
      <c r="H24" s="16" t="n">
        <f aca="false">E24/F24</f>
        <v>258.196572836286</v>
      </c>
      <c r="I24" s="16" t="n">
        <f aca="false">INDEX(Curvas!$G$14:$G$112,MATCH(A24+Parâmetros!$B$17,Curvas!$A$14:$A$112,0))*Parâmetros!$B$6*Parâmetros!$D$17</f>
        <v>962.28</v>
      </c>
      <c r="J24" s="16" t="n">
        <f aca="false">INDEX(Curvas!$G$14:$G$112,MATCH(A24+Parâmetros!$B$19,Curvas!$A$14:$A$112,0))*Parâmetros!$B$6*Parâmetros!$D$19</f>
        <v>1726.2</v>
      </c>
      <c r="K24" s="16" t="n">
        <f aca="false">INDEX(Curvas!$G$14:$G$112,MATCH(A24+Parâmetros!$B$20,Curvas!$A$14:$A$112,0))*Parâmetros!$B$6*Parâmetros!$D$20</f>
        <v>1726.2</v>
      </c>
    </row>
    <row r="25" customFormat="false" ht="15" hidden="false" customHeight="false" outlineLevel="0" collapsed="false">
      <c r="A25" s="5" t="n">
        <v>21</v>
      </c>
      <c r="B25" s="16" t="n">
        <f aca="false">INDEX(Curvas!$B$14:$B$112,MATCH(A25-1,Curvas!$A$14:$A$112,0))</f>
        <v>371290</v>
      </c>
      <c r="C25" s="16" t="n">
        <f aca="false">INDEX(Curvas!$B$14:$B$112,MATCH(A25,Curvas!$A$14:$A$112,0))-B25</f>
        <v>86520</v>
      </c>
      <c r="D25" s="16" t="n">
        <f aca="false">ROUND(B25*Parâmetros!$B$5,0)</f>
        <v>371290</v>
      </c>
      <c r="E25" s="16" t="n">
        <f aca="false">ROUND(C25*Parâmetros!$B$5,0)</f>
        <v>86520</v>
      </c>
      <c r="F25" s="24" t="n">
        <f aca="false">INDEX(Curvas!$G$14:$G$112,MATCH(A25,Curvas!$A$14:$A$112,0))*Parâmetros!$B$6</f>
        <v>297.72</v>
      </c>
      <c r="G25" s="16" t="n">
        <f aca="false">C25/F25</f>
        <v>290.608625554212</v>
      </c>
      <c r="H25" s="16" t="n">
        <f aca="false">E25/F25</f>
        <v>290.608625554212</v>
      </c>
      <c r="I25" s="16" t="n">
        <f aca="false">INDEX(Curvas!$G$14:$G$112,MATCH(A25+Parâmetros!$B$17,Curvas!$A$14:$A$112,0))*Parâmetros!$B$6*Parâmetros!$D$17</f>
        <v>1035.72</v>
      </c>
      <c r="J25" s="16" t="n">
        <f aca="false">INDEX(Curvas!$G$14:$G$112,MATCH(A25+Parâmetros!$B$19,Curvas!$A$14:$A$112,0))*Parâmetros!$B$6*Parâmetros!$D$19</f>
        <v>1855.8</v>
      </c>
      <c r="K25" s="16" t="n">
        <f aca="false">INDEX(Curvas!$G$14:$G$112,MATCH(A25+Parâmetros!$B$20,Curvas!$A$14:$A$112,0))*Parâmetros!$B$6*Parâmetros!$D$20</f>
        <v>1855.8</v>
      </c>
    </row>
    <row r="26" customFormat="false" ht="15" hidden="false" customHeight="false" outlineLevel="0" collapsed="false">
      <c r="A26" s="5" t="n">
        <v>22</v>
      </c>
      <c r="B26" s="16" t="n">
        <f aca="false">INDEX(Curvas!$B$14:$B$112,MATCH(A26-1,Curvas!$A$14:$A$112,0))</f>
        <v>457810</v>
      </c>
      <c r="C26" s="16" t="n">
        <f aca="false">INDEX(Curvas!$B$14:$B$112,MATCH(A26,Curvas!$A$14:$A$112,0))-B26</f>
        <v>104810</v>
      </c>
      <c r="D26" s="16" t="n">
        <f aca="false">ROUND(B26*Parâmetros!$B$5,0)</f>
        <v>457810</v>
      </c>
      <c r="E26" s="16" t="n">
        <f aca="false">ROUND(C26*Parâmetros!$B$5,0)</f>
        <v>104810</v>
      </c>
      <c r="F26" s="24" t="n">
        <f aca="false">INDEX(Curvas!$G$14:$G$112,MATCH(A26,Curvas!$A$14:$A$112,0))*Parâmetros!$B$6</f>
        <v>320.76</v>
      </c>
      <c r="G26" s="16" t="n">
        <f aca="false">C26/F26</f>
        <v>326.755206384836</v>
      </c>
      <c r="H26" s="16" t="n">
        <f aca="false">E26/F26</f>
        <v>326.755206384836</v>
      </c>
      <c r="I26" s="16" t="n">
        <f aca="false">INDEX(Curvas!$G$14:$G$112,MATCH(A26+Parâmetros!$B$17,Curvas!$A$14:$A$112,0))*Parâmetros!$B$6*Parâmetros!$D$17</f>
        <v>1113.48</v>
      </c>
      <c r="J26" s="16" t="n">
        <f aca="false">INDEX(Curvas!$G$14:$G$112,MATCH(A26+Parâmetros!$B$19,Curvas!$A$14:$A$112,0))*Parâmetros!$B$6*Parâmetros!$D$19</f>
        <v>1993.95</v>
      </c>
      <c r="K26" s="16" t="n">
        <f aca="false">INDEX(Curvas!$G$14:$G$112,MATCH(A26+Parâmetros!$B$20,Curvas!$A$14:$A$112,0))*Parâmetros!$B$6*Parâmetros!$D$20</f>
        <v>1993.95</v>
      </c>
    </row>
    <row r="27" customFormat="false" ht="15" hidden="false" customHeight="false" outlineLevel="0" collapsed="false">
      <c r="A27" s="5" t="n">
        <v>23</v>
      </c>
      <c r="B27" s="16" t="n">
        <f aca="false">INDEX(Curvas!$B$14:$B$112,MATCH(A27-1,Curvas!$A$14:$A$112,0))</f>
        <v>562620</v>
      </c>
      <c r="C27" s="16" t="n">
        <f aca="false">INDEX(Curvas!$B$14:$B$112,MATCH(A27,Curvas!$A$14:$A$112,0))-B27</f>
        <v>126760</v>
      </c>
      <c r="D27" s="16" t="n">
        <f aca="false">ROUND(B27*Parâmetros!$B$5,0)</f>
        <v>562620</v>
      </c>
      <c r="E27" s="16" t="n">
        <f aca="false">ROUND(C27*Parâmetros!$B$5,0)</f>
        <v>126760</v>
      </c>
      <c r="F27" s="24" t="n">
        <f aca="false">INDEX(Curvas!$G$14:$G$112,MATCH(A27,Curvas!$A$14:$A$112,0))*Parâmetros!$B$6</f>
        <v>345.24</v>
      </c>
      <c r="G27" s="16" t="n">
        <f aca="false">C27/F27</f>
        <v>367.164870814506</v>
      </c>
      <c r="H27" s="16" t="n">
        <f aca="false">E27/F27</f>
        <v>367.164870814506</v>
      </c>
      <c r="I27" s="16" t="n">
        <f aca="false">INDEX(Curvas!$G$14:$G$112,MATCH(A27+Parâmetros!$B$17,Curvas!$A$14:$A$112,0))*Parâmetros!$B$6*Parâmetros!$D$17</f>
        <v>1196.37</v>
      </c>
      <c r="J27" s="16" t="n">
        <f aca="false">INDEX(Curvas!$G$14:$G$112,MATCH(A27+Parâmetros!$B$19,Curvas!$A$14:$A$112,0))*Parâmetros!$B$6*Parâmetros!$D$19</f>
        <v>2140.2</v>
      </c>
      <c r="K27" s="16" t="n">
        <f aca="false">INDEX(Curvas!$G$14:$G$112,MATCH(A27+Parâmetros!$B$20,Curvas!$A$14:$A$112,0))*Parâmetros!$B$6*Parâmetros!$D$20</f>
        <v>2140.2</v>
      </c>
    </row>
    <row r="28" customFormat="false" ht="15" hidden="false" customHeight="false" outlineLevel="0" collapsed="false">
      <c r="A28" s="5" t="n">
        <v>24</v>
      </c>
      <c r="B28" s="16" t="n">
        <f aca="false">INDEX(Curvas!$B$14:$B$112,MATCH(A28-1,Curvas!$A$14:$A$112,0))</f>
        <v>689380</v>
      </c>
      <c r="C28" s="16" t="n">
        <f aca="false">INDEX(Curvas!$B$14:$B$112,MATCH(A28,Curvas!$A$14:$A$112,0))-B28</f>
        <v>153050</v>
      </c>
      <c r="D28" s="16" t="n">
        <f aca="false">ROUND(B28*Parâmetros!$B$5,0)</f>
        <v>689380</v>
      </c>
      <c r="E28" s="16" t="n">
        <f aca="false">ROUND(C28*Parâmetros!$B$5,0)</f>
        <v>153050</v>
      </c>
      <c r="F28" s="24" t="n">
        <f aca="false">INDEX(Curvas!$G$14:$G$112,MATCH(A28,Curvas!$A$14:$A$112,0))*Parâmetros!$B$6</f>
        <v>371.16</v>
      </c>
      <c r="G28" s="16" t="n">
        <f aca="false">C28/F28</f>
        <v>412.35585731221</v>
      </c>
      <c r="H28" s="16" t="n">
        <f aca="false">E28/F28</f>
        <v>412.35585731221</v>
      </c>
      <c r="I28" s="16" t="n">
        <f aca="false">INDEX(Curvas!$G$14:$G$112,MATCH(A28+Parâmetros!$B$17,Curvas!$A$14:$A$112,0))*Parâmetros!$B$6*Parâmetros!$D$17</f>
        <v>1284.12</v>
      </c>
      <c r="J28" s="16" t="n">
        <f aca="false">INDEX(Curvas!$G$14:$G$112,MATCH(A28+Parâmetros!$B$19,Curvas!$A$14:$A$112,0))*Parâmetros!$B$6*Parâmetros!$D$19</f>
        <v>2295.45</v>
      </c>
      <c r="K28" s="16" t="n">
        <f aca="false">INDEX(Curvas!$G$14:$G$112,MATCH(A28+Parâmetros!$B$20,Curvas!$A$14:$A$112,0))*Parâmetros!$B$6*Parâmetros!$D$20</f>
        <v>2295.45</v>
      </c>
    </row>
    <row r="29" customFormat="false" ht="15" hidden="false" customHeight="false" outlineLevel="0" collapsed="false">
      <c r="A29" s="5" t="n">
        <v>25</v>
      </c>
      <c r="B29" s="16" t="n">
        <f aca="false">INDEX(Curvas!$B$14:$B$112,MATCH(A29-1,Curvas!$A$14:$A$112,0))</f>
        <v>842430</v>
      </c>
      <c r="C29" s="16" t="n">
        <f aca="false">INDEX(Curvas!$B$14:$B$112,MATCH(A29,Curvas!$A$14:$A$112,0))-B29</f>
        <v>184510</v>
      </c>
      <c r="D29" s="16" t="n">
        <f aca="false">ROUND(B29*Parâmetros!$B$5,0)</f>
        <v>842430</v>
      </c>
      <c r="E29" s="16" t="n">
        <f aca="false">ROUND(C29*Parâmetros!$B$5,0)</f>
        <v>184510</v>
      </c>
      <c r="F29" s="24" t="n">
        <f aca="false">INDEX(Curvas!$G$14:$G$112,MATCH(A29,Curvas!$A$14:$A$112,0))*Parâmetros!$B$6</f>
        <v>398.79</v>
      </c>
      <c r="G29" s="16" t="n">
        <f aca="false">C29/F29</f>
        <v>462.674590636676</v>
      </c>
      <c r="H29" s="16" t="n">
        <f aca="false">E29/F29</f>
        <v>462.674590636676</v>
      </c>
      <c r="I29" s="16" t="n">
        <f aca="false">INDEX(Curvas!$G$14:$G$112,MATCH(A29+Parâmetros!$B$17,Curvas!$A$14:$A$112,0))*Parâmetros!$B$6*Parâmetros!$D$17</f>
        <v>1377.27</v>
      </c>
      <c r="J29" s="16" t="n">
        <f aca="false">INDEX(Curvas!$G$14:$G$112,MATCH(A29+Parâmetros!$B$19,Curvas!$A$14:$A$112,0))*Parâmetros!$B$6*Parâmetros!$D$19</f>
        <v>2460.15</v>
      </c>
      <c r="K29" s="16" t="n">
        <f aca="false">INDEX(Curvas!$G$14:$G$112,MATCH(A29+Parâmetros!$B$20,Curvas!$A$14:$A$112,0))*Parâmetros!$B$6*Parâmetros!$D$20</f>
        <v>2460.15</v>
      </c>
    </row>
    <row r="30" customFormat="false" ht="15" hidden="false" customHeight="false" outlineLevel="0" collapsed="false">
      <c r="A30" s="5" t="n">
        <v>26</v>
      </c>
      <c r="B30" s="16" t="n">
        <f aca="false">INDEX(Curvas!$B$14:$B$112,MATCH(A30-1,Curvas!$A$14:$A$112,0))</f>
        <v>1026940</v>
      </c>
      <c r="C30" s="16" t="n">
        <f aca="false">INDEX(Curvas!$B$14:$B$112,MATCH(A30,Curvas!$A$14:$A$112,0))-B30</f>
        <v>222140</v>
      </c>
      <c r="D30" s="16" t="n">
        <f aca="false">ROUND(B30*Parâmetros!$B$5,0)</f>
        <v>1026940</v>
      </c>
      <c r="E30" s="16" t="n">
        <f aca="false">ROUND(C30*Parâmetros!$B$5,0)</f>
        <v>222140</v>
      </c>
      <c r="F30" s="24" t="n">
        <f aca="false">INDEX(Curvas!$G$14:$G$112,MATCH(A30,Curvas!$A$14:$A$112,0))*Parâmetros!$B$6</f>
        <v>428.04</v>
      </c>
      <c r="G30" s="16" t="n">
        <f aca="false">C30/F30</f>
        <v>518.970189701897</v>
      </c>
      <c r="H30" s="16" t="n">
        <f aca="false">E30/F30</f>
        <v>518.970189701897</v>
      </c>
      <c r="I30" s="16" t="n">
        <f aca="false">INDEX(Curvas!$G$14:$G$112,MATCH(A30+Parâmetros!$B$17,Curvas!$A$14:$A$112,0))*Parâmetros!$B$6*Parâmetros!$D$17</f>
        <v>1476.09</v>
      </c>
      <c r="J30" s="16" t="n">
        <f aca="false">INDEX(Curvas!$G$14:$G$112,MATCH(A30+Parâmetros!$B$19,Curvas!$A$14:$A$112,0))*Parâmetros!$B$6*Parâmetros!$D$19</f>
        <v>2635.2</v>
      </c>
      <c r="K30" s="16" t="n">
        <f aca="false">INDEX(Curvas!$G$14:$G$112,MATCH(A30+Parâmetros!$B$20,Curvas!$A$14:$A$112,0))*Parâmetros!$B$6*Parâmetros!$D$20</f>
        <v>2635.2</v>
      </c>
    </row>
    <row r="31" customFormat="false" ht="15" hidden="false" customHeight="false" outlineLevel="0" collapsed="false">
      <c r="A31" s="5" t="n">
        <v>27</v>
      </c>
      <c r="B31" s="16" t="n">
        <f aca="false">INDEX(Curvas!$B$14:$B$112,MATCH(A31-1,Curvas!$A$14:$A$112,0))</f>
        <v>1249080</v>
      </c>
      <c r="C31" s="16" t="n">
        <f aca="false">INDEX(Curvas!$B$14:$B$112,MATCH(A31,Curvas!$A$14:$A$112,0))-B31</f>
        <v>267100</v>
      </c>
      <c r="D31" s="16" t="n">
        <f aca="false">ROUND(B31*Parâmetros!$B$5,0)</f>
        <v>1249080</v>
      </c>
      <c r="E31" s="16" t="n">
        <f aca="false">ROUND(C31*Parâmetros!$B$5,0)</f>
        <v>267100</v>
      </c>
      <c r="F31" s="24" t="n">
        <f aca="false">INDEX(Curvas!$G$14:$G$112,MATCH(A31,Curvas!$A$14:$A$112,0))*Parâmetros!$B$6</f>
        <v>459.09</v>
      </c>
      <c r="G31" s="16" t="n">
        <f aca="false">C31/F31</f>
        <v>581.80313228343</v>
      </c>
      <c r="H31" s="16" t="n">
        <f aca="false">E31/F31</f>
        <v>581.80313228343</v>
      </c>
      <c r="I31" s="16" t="n">
        <f aca="false">INDEX(Curvas!$G$14:$G$112,MATCH(A31+Parâmetros!$B$17,Curvas!$A$14:$A$112,0))*Parâmetros!$B$6*Parâmetros!$D$17</f>
        <v>1581.12</v>
      </c>
      <c r="J31" s="16" t="n">
        <f aca="false">INDEX(Curvas!$G$14:$G$112,MATCH(A31+Parâmetros!$B$19,Curvas!$A$14:$A$112,0))*Parâmetros!$B$6*Parâmetros!$D$19</f>
        <v>2821.05</v>
      </c>
      <c r="K31" s="16" t="n">
        <f aca="false">INDEX(Curvas!$G$14:$G$112,MATCH(A31+Parâmetros!$B$20,Curvas!$A$14:$A$112,0))*Parâmetros!$B$6*Parâmetros!$D$20</f>
        <v>2821.05</v>
      </c>
    </row>
    <row r="32" customFormat="false" ht="15" hidden="false" customHeight="false" outlineLevel="0" collapsed="false">
      <c r="A32" s="5" t="n">
        <v>28</v>
      </c>
      <c r="B32" s="16" t="n">
        <f aca="false">INDEX(Curvas!$B$14:$B$112,MATCH(A32-1,Curvas!$A$14:$A$112,0))</f>
        <v>1516180</v>
      </c>
      <c r="C32" s="16" t="n">
        <f aca="false">INDEX(Curvas!$B$14:$B$112,MATCH(A32,Curvas!$A$14:$A$112,0))-B32</f>
        <v>320780</v>
      </c>
      <c r="D32" s="16" t="n">
        <f aca="false">ROUND(B32*Parâmetros!$B$5,0)</f>
        <v>1516180</v>
      </c>
      <c r="E32" s="16" t="n">
        <f aca="false">ROUND(C32*Parâmetros!$B$5,0)</f>
        <v>320780</v>
      </c>
      <c r="F32" s="24" t="n">
        <f aca="false">INDEX(Curvas!$G$14:$G$112,MATCH(A32,Curvas!$A$14:$A$112,0))*Parâmetros!$B$6</f>
        <v>492.03</v>
      </c>
      <c r="G32" s="16" t="n">
        <f aca="false">C32/F32</f>
        <v>651.952116740849</v>
      </c>
      <c r="H32" s="16" t="n">
        <f aca="false">E32/F32</f>
        <v>651.952116740849</v>
      </c>
      <c r="I32" s="16" t="n">
        <f aca="false">INDEX(Curvas!$G$14:$G$112,MATCH(A32+Parâmetros!$B$17,Curvas!$A$14:$A$112,0))*Parâmetros!$B$6*Parâmetros!$D$17</f>
        <v>1692.63</v>
      </c>
      <c r="J32" s="16" t="n">
        <f aca="false">INDEX(Curvas!$G$14:$G$112,MATCH(A32+Parâmetros!$B$19,Curvas!$A$14:$A$112,0))*Parâmetros!$B$6*Parâmetros!$D$19</f>
        <v>3018.6</v>
      </c>
      <c r="K32" s="16" t="n">
        <f aca="false">INDEX(Curvas!$G$14:$G$112,MATCH(A32+Parâmetros!$B$20,Curvas!$A$14:$A$112,0))*Parâmetros!$B$6*Parâmetros!$D$20</f>
        <v>3018.6</v>
      </c>
    </row>
    <row r="33" customFormat="false" ht="15" hidden="false" customHeight="false" outlineLevel="0" collapsed="false">
      <c r="A33" s="5" t="n">
        <v>29</v>
      </c>
      <c r="B33" s="16" t="n">
        <f aca="false">INDEX(Curvas!$B$14:$B$112,MATCH(A33-1,Curvas!$A$14:$A$112,0))</f>
        <v>1836960</v>
      </c>
      <c r="C33" s="16" t="n">
        <f aca="false">INDEX(Curvas!$B$14:$B$112,MATCH(A33,Curvas!$A$14:$A$112,0))-B33</f>
        <v>384830</v>
      </c>
      <c r="D33" s="16" t="n">
        <f aca="false">ROUND(B33*Parâmetros!$B$5,0)</f>
        <v>1836960</v>
      </c>
      <c r="E33" s="16" t="n">
        <f aca="false">ROUND(C33*Parâmetros!$B$5,0)</f>
        <v>384830</v>
      </c>
      <c r="F33" s="24" t="n">
        <f aca="false">INDEX(Curvas!$G$14:$G$112,MATCH(A33,Curvas!$A$14:$A$112,0))*Parâmetros!$B$6</f>
        <v>527.04</v>
      </c>
      <c r="G33" s="16" t="n">
        <f aca="false">C33/F33</f>
        <v>730.172282938676</v>
      </c>
      <c r="H33" s="16" t="n">
        <f aca="false">E33/F33</f>
        <v>730.172282938676</v>
      </c>
      <c r="I33" s="16" t="n">
        <f aca="false">INDEX(Curvas!$G$14:$G$112,MATCH(A33+Parâmetros!$B$17,Curvas!$A$14:$A$112,0))*Parâmetros!$B$6*Parâmetros!$D$17</f>
        <v>1811.16</v>
      </c>
      <c r="J33" s="16" t="n">
        <f aca="false">INDEX(Curvas!$G$14:$G$112,MATCH(A33+Parâmetros!$B$19,Curvas!$A$14:$A$112,0))*Parâmetros!$B$6*Parâmetros!$D$19</f>
        <v>3227.85</v>
      </c>
      <c r="K33" s="16" t="n">
        <f aca="false">INDEX(Curvas!$G$14:$G$112,MATCH(A33+Parâmetros!$B$20,Curvas!$A$14:$A$112,0))*Parâmetros!$B$6*Parâmetros!$D$20</f>
        <v>3227.85</v>
      </c>
    </row>
    <row r="34" customFormat="false" ht="15" hidden="false" customHeight="false" outlineLevel="0" collapsed="false">
      <c r="A34" s="5" t="n">
        <v>30</v>
      </c>
      <c r="B34" s="16" t="n">
        <f aca="false">INDEX(Curvas!$B$14:$B$112,MATCH(A34-1,Curvas!$A$14:$A$112,0))</f>
        <v>2221790</v>
      </c>
      <c r="C34" s="16" t="n">
        <f aca="false">INDEX(Curvas!$B$14:$B$112,MATCH(A34,Curvas!$A$14:$A$112,0))-B34</f>
        <v>461200</v>
      </c>
      <c r="D34" s="16" t="n">
        <f aca="false">ROUND(B34*Parâmetros!$B$5,0)</f>
        <v>2221790</v>
      </c>
      <c r="E34" s="16" t="n">
        <f aca="false">ROUND(C34*Parâmetros!$B$5,0)</f>
        <v>461200</v>
      </c>
      <c r="F34" s="24" t="n">
        <f aca="false">INDEX(Curvas!$G$14:$G$112,MATCH(A34,Curvas!$A$14:$A$112,0))*Parâmetros!$B$6</f>
        <v>564.21</v>
      </c>
      <c r="G34" s="16" t="n">
        <f aca="false">C34/F34</f>
        <v>817.426135658709</v>
      </c>
      <c r="H34" s="16" t="n">
        <f aca="false">E34/F34</f>
        <v>817.426135658709</v>
      </c>
      <c r="I34" s="16" t="n">
        <f aca="false">INDEX(Curvas!$G$14:$G$112,MATCH(A34+Parâmetros!$B$17,Curvas!$A$14:$A$112,0))*Parâmetros!$B$6*Parâmetros!$D$17</f>
        <v>1936.71</v>
      </c>
      <c r="J34" s="16" t="n">
        <f aca="false">INDEX(Curvas!$G$14:$G$112,MATCH(A34+Parâmetros!$B$19,Curvas!$A$14:$A$112,0))*Parâmetros!$B$6*Parâmetros!$D$19</f>
        <v>3449.7</v>
      </c>
      <c r="K34" s="16" t="n">
        <f aca="false">INDEX(Curvas!$G$14:$G$112,MATCH(A34+Parâmetros!$B$20,Curvas!$A$14:$A$112,0))*Parâmetros!$B$6*Parâmetros!$D$20</f>
        <v>3449.7</v>
      </c>
    </row>
    <row r="35" customFormat="false" ht="15" hidden="false" customHeight="false" outlineLevel="0" collapsed="false">
      <c r="A35" s="5" t="n">
        <v>31</v>
      </c>
      <c r="B35" s="16" t="n">
        <f aca="false">INDEX(Curvas!$B$14:$B$112,MATCH(A35-1,Curvas!$A$14:$A$112,0))</f>
        <v>2682990</v>
      </c>
      <c r="C35" s="16" t="n">
        <f aca="false">INDEX(Curvas!$B$14:$B$112,MATCH(A35,Curvas!$A$14:$A$112,0))-B35</f>
        <v>552190</v>
      </c>
      <c r="D35" s="16" t="n">
        <f aca="false">ROUND(B35*Parâmetros!$B$5,0)</f>
        <v>2682990</v>
      </c>
      <c r="E35" s="16" t="n">
        <f aca="false">ROUND(C35*Parâmetros!$B$5,0)</f>
        <v>552190</v>
      </c>
      <c r="F35" s="24" t="n">
        <f aca="false">INDEX(Curvas!$G$14:$G$112,MATCH(A35,Curvas!$A$14:$A$112,0))*Parâmetros!$B$6</f>
        <v>603.72</v>
      </c>
      <c r="G35" s="16" t="n">
        <f aca="false">C35/F35</f>
        <v>914.645862320281</v>
      </c>
      <c r="H35" s="16" t="n">
        <f aca="false">E35/F35</f>
        <v>914.645862320281</v>
      </c>
      <c r="I35" s="16" t="n">
        <f aca="false">INDEX(Curvas!$G$14:$G$112,MATCH(A35+Parâmetros!$B$17,Curvas!$A$14:$A$112,0))*Parâmetros!$B$6*Parâmetros!$D$17</f>
        <v>2069.82</v>
      </c>
      <c r="J35" s="16" t="n">
        <f aca="false">INDEX(Curvas!$G$14:$G$112,MATCH(A35+Parâmetros!$B$19,Curvas!$A$14:$A$112,0))*Parâmetros!$B$6*Parâmetros!$D$19</f>
        <v>3685.5</v>
      </c>
      <c r="K35" s="16" t="n">
        <f aca="false">INDEX(Curvas!$G$14:$G$112,MATCH(A35+Parâmetros!$B$20,Curvas!$A$14:$A$112,0))*Parâmetros!$B$6*Parâmetros!$D$20</f>
        <v>3685.5</v>
      </c>
    </row>
    <row r="36" customFormat="false" ht="15" hidden="false" customHeight="false" outlineLevel="0" collapsed="false">
      <c r="A36" s="5" t="n">
        <v>32</v>
      </c>
      <c r="B36" s="16" t="n">
        <f aca="false">INDEX(Curvas!$B$14:$B$112,MATCH(A36-1,Curvas!$A$14:$A$112,0))</f>
        <v>3235180</v>
      </c>
      <c r="C36" s="16" t="n">
        <f aca="false">INDEX(Curvas!$B$14:$B$112,MATCH(A36,Curvas!$A$14:$A$112,0))-B36</f>
        <v>660540</v>
      </c>
      <c r="D36" s="16" t="n">
        <f aca="false">ROUND(B36*Parâmetros!$B$5,0)</f>
        <v>3235180</v>
      </c>
      <c r="E36" s="16" t="n">
        <f aca="false">ROUND(C36*Parâmetros!$B$5,0)</f>
        <v>660540</v>
      </c>
      <c r="F36" s="24" t="n">
        <f aca="false">INDEX(Curvas!$G$14:$G$112,MATCH(A36,Curvas!$A$14:$A$112,0))*Parâmetros!$B$6</f>
        <v>645.57</v>
      </c>
      <c r="G36" s="16" t="n">
        <f aca="false">C36/F36</f>
        <v>1023.18880988894</v>
      </c>
      <c r="H36" s="16" t="n">
        <f aca="false">E36/F36</f>
        <v>1023.18880988894</v>
      </c>
      <c r="I36" s="16" t="n">
        <f aca="false">INDEX(Curvas!$G$14:$G$112,MATCH(A36+Parâmetros!$B$17,Curvas!$A$14:$A$112,0))*Parâmetros!$B$6*Parâmetros!$D$17</f>
        <v>2211.3</v>
      </c>
      <c r="J36" s="16" t="n">
        <f aca="false">INDEX(Curvas!$G$14:$G$112,MATCH(A36+Parâmetros!$B$19,Curvas!$A$14:$A$112,0))*Parâmetros!$B$6*Parâmetros!$D$19</f>
        <v>3935.7</v>
      </c>
      <c r="K36" s="16" t="n">
        <f aca="false">INDEX(Curvas!$G$14:$G$112,MATCH(A36+Parâmetros!$B$20,Curvas!$A$14:$A$112,0))*Parâmetros!$B$6*Parâmetros!$D$20</f>
        <v>3935.7</v>
      </c>
    </row>
    <row r="37" customFormat="false" ht="15" hidden="false" customHeight="false" outlineLevel="0" collapsed="false">
      <c r="A37" s="5" t="n">
        <v>33</v>
      </c>
      <c r="B37" s="16" t="n">
        <f aca="false">INDEX(Curvas!$B$14:$B$112,MATCH(A37-1,Curvas!$A$14:$A$112,0))</f>
        <v>3895720</v>
      </c>
      <c r="C37" s="16" t="n">
        <f aca="false">INDEX(Curvas!$B$14:$B$112,MATCH(A37,Curvas!$A$14:$A$112,0))-B37</f>
        <v>789480</v>
      </c>
      <c r="D37" s="16" t="n">
        <f aca="false">ROUND(B37*Parâmetros!$B$5,0)</f>
        <v>3895720</v>
      </c>
      <c r="E37" s="16" t="n">
        <f aca="false">ROUND(C37*Parâmetros!$B$5,0)</f>
        <v>789480</v>
      </c>
      <c r="F37" s="24" t="n">
        <f aca="false">INDEX(Curvas!$G$14:$G$112,MATCH(A37,Curvas!$A$14:$A$112,0))*Parâmetros!$B$6</f>
        <v>689.94</v>
      </c>
      <c r="G37" s="16" t="n">
        <f aca="false">C37/F37</f>
        <v>1144.27341507957</v>
      </c>
      <c r="H37" s="16" t="n">
        <f aca="false">E37/F37</f>
        <v>1144.27341507957</v>
      </c>
      <c r="I37" s="16" t="n">
        <f aca="false">INDEX(Curvas!$G$14:$G$112,MATCH(A37+Parâmetros!$B$17,Curvas!$A$14:$A$112,0))*Parâmetros!$B$6*Parâmetros!$D$17</f>
        <v>2361.42</v>
      </c>
      <c r="J37" s="16" t="n">
        <f aca="false">INDEX(Curvas!$G$14:$G$112,MATCH(A37+Parâmetros!$B$19,Curvas!$A$14:$A$112,0))*Parâmetros!$B$6*Parâmetros!$D$19</f>
        <v>4200.75</v>
      </c>
      <c r="K37" s="16" t="n">
        <f aca="false">INDEX(Curvas!$G$14:$G$112,MATCH(A37+Parâmetros!$B$20,Curvas!$A$14:$A$112,0))*Parâmetros!$B$6*Parâmetros!$D$20</f>
        <v>4200.75</v>
      </c>
    </row>
    <row r="38" customFormat="false" ht="15" hidden="false" customHeight="false" outlineLevel="0" collapsed="false">
      <c r="A38" s="5" t="n">
        <v>34</v>
      </c>
      <c r="B38" s="16" t="n">
        <f aca="false">INDEX(Curvas!$B$14:$B$112,MATCH(A38-1,Curvas!$A$14:$A$112,0))</f>
        <v>4685200</v>
      </c>
      <c r="C38" s="16" t="n">
        <f aca="false">INDEX(Curvas!$B$14:$B$112,MATCH(A38,Curvas!$A$14:$A$112,0))-B38</f>
        <v>942860</v>
      </c>
      <c r="D38" s="16" t="n">
        <f aca="false">ROUND(B38*Parâmetros!$B$5,0)</f>
        <v>4685200</v>
      </c>
      <c r="E38" s="16" t="n">
        <f aca="false">ROUND(C38*Parâmetros!$B$5,0)</f>
        <v>942860</v>
      </c>
      <c r="F38" s="24" t="n">
        <f aca="false">INDEX(Curvas!$G$14:$G$112,MATCH(A38,Curvas!$A$14:$A$112,0))*Parâmetros!$B$6</f>
        <v>737.1</v>
      </c>
      <c r="G38" s="16" t="n">
        <f aca="false">C38/F38</f>
        <v>1279.14801248135</v>
      </c>
      <c r="H38" s="16" t="n">
        <f aca="false">E38/F38</f>
        <v>1279.14801248135</v>
      </c>
      <c r="I38" s="16" t="n">
        <f aca="false">INDEX(Curvas!$G$14:$G$112,MATCH(A38+Parâmetros!$B$17,Curvas!$A$14:$A$112,0))*Parâmetros!$B$6*Parâmetros!$D$17</f>
        <v>2520.45</v>
      </c>
      <c r="J38" s="16" t="n">
        <f aca="false">INDEX(Curvas!$G$14:$G$112,MATCH(A38+Parâmetros!$B$19,Curvas!$A$14:$A$112,0))*Parâmetros!$B$6*Parâmetros!$D$19</f>
        <v>4482</v>
      </c>
      <c r="K38" s="16" t="n">
        <f aca="false">INDEX(Curvas!$G$14:$G$112,MATCH(A38+Parâmetros!$B$20,Curvas!$A$14:$A$112,0))*Parâmetros!$B$6*Parâmetros!$D$20</f>
        <v>4482</v>
      </c>
    </row>
    <row r="39" customFormat="false" ht="15" hidden="false" customHeight="false" outlineLevel="0" collapsed="false">
      <c r="A39" s="5" t="n">
        <v>35</v>
      </c>
      <c r="B39" s="16" t="n">
        <f aca="false">INDEX(Curvas!$B$14:$B$112,MATCH(A39-1,Curvas!$A$14:$A$112,0))</f>
        <v>5628060</v>
      </c>
      <c r="C39" s="16" t="n">
        <f aca="false">INDEX(Curvas!$B$14:$B$112,MATCH(A39,Curvas!$A$14:$A$112,0))-B39</f>
        <v>1125190</v>
      </c>
      <c r="D39" s="16" t="n">
        <f aca="false">ROUND(B39*Parâmetros!$B$5,0)</f>
        <v>5628060</v>
      </c>
      <c r="E39" s="16" t="n">
        <f aca="false">ROUND(C39*Parâmetros!$B$5,0)</f>
        <v>1125190</v>
      </c>
      <c r="F39" s="24" t="n">
        <f aca="false">INDEX(Curvas!$G$14:$G$112,MATCH(A39,Curvas!$A$14:$A$112,0))*Parâmetros!$B$6</f>
        <v>787.14</v>
      </c>
      <c r="G39" s="16" t="n">
        <f aca="false">C39/F39</f>
        <v>1429.46616866123</v>
      </c>
      <c r="H39" s="16" t="n">
        <f aca="false">E39/F39</f>
        <v>1429.46616866123</v>
      </c>
      <c r="I39" s="16" t="n">
        <f aca="false">INDEX(Curvas!$G$14:$G$112,MATCH(A39+Parâmetros!$B$17,Curvas!$A$14:$A$112,0))*Parâmetros!$B$6*Parâmetros!$D$17</f>
        <v>2689.2</v>
      </c>
      <c r="J39" s="16" t="n">
        <f aca="false">INDEX(Curvas!$G$14:$G$112,MATCH(A39+Parâmetros!$B$19,Curvas!$A$14:$A$112,0))*Parâmetros!$B$6*Parâmetros!$D$19</f>
        <v>4780.8</v>
      </c>
      <c r="K39" s="16" t="n">
        <f aca="false">INDEX(Curvas!$G$14:$G$112,MATCH(A39+Parâmetros!$B$20,Curvas!$A$14:$A$112,0))*Parâmetros!$B$6*Parâmetros!$D$20</f>
        <v>4780.8</v>
      </c>
    </row>
    <row r="40" customFormat="false" ht="15" hidden="false" customHeight="false" outlineLevel="0" collapsed="false">
      <c r="A40" s="5" t="n">
        <v>36</v>
      </c>
      <c r="B40" s="16" t="n">
        <f aca="false">INDEX(Curvas!$B$14:$B$112,MATCH(A40-1,Curvas!$A$14:$A$112,0))</f>
        <v>6753250</v>
      </c>
      <c r="C40" s="16" t="n">
        <f aca="false">INDEX(Curvas!$B$14:$B$112,MATCH(A40,Curvas!$A$14:$A$112,0))-B40</f>
        <v>1341840</v>
      </c>
      <c r="D40" s="16" t="n">
        <f aca="false">ROUND(B40*Parâmetros!$B$5,0)</f>
        <v>6753250</v>
      </c>
      <c r="E40" s="16" t="n">
        <f aca="false">ROUND(C40*Parâmetros!$B$5,0)</f>
        <v>1341840</v>
      </c>
      <c r="F40" s="24" t="n">
        <f aca="false">INDEX(Curvas!$G$14:$G$112,MATCH(A40,Curvas!$A$14:$A$112,0))*Parâmetros!$B$6</f>
        <v>840.15</v>
      </c>
      <c r="G40" s="16" t="n">
        <f aca="false">C40/F40</f>
        <v>1597.14336725585</v>
      </c>
      <c r="H40" s="16" t="n">
        <f aca="false">E40/F40</f>
        <v>1597.14336725585</v>
      </c>
      <c r="I40" s="16" t="n">
        <f aca="false">INDEX(Curvas!$G$14:$G$112,MATCH(A40+Parâmetros!$B$17,Curvas!$A$14:$A$112,0))*Parâmetros!$B$6*Parâmetros!$D$17</f>
        <v>2868.48</v>
      </c>
      <c r="J40" s="16" t="n">
        <f aca="false">INDEX(Curvas!$G$14:$G$112,MATCH(A40+Parâmetros!$B$19,Curvas!$A$14:$A$112,0))*Parâmetros!$B$6*Parâmetros!$D$19</f>
        <v>5097.15</v>
      </c>
      <c r="K40" s="16" t="n">
        <f aca="false">INDEX(Curvas!$G$14:$G$112,MATCH(A40+Parâmetros!$B$20,Curvas!$A$14:$A$112,0))*Parâmetros!$B$6*Parâmetros!$D$20</f>
        <v>5097.15</v>
      </c>
    </row>
    <row r="41" customFormat="false" ht="15" hidden="false" customHeight="false" outlineLevel="0" collapsed="false">
      <c r="A41" s="5" t="n">
        <v>37</v>
      </c>
      <c r="B41" s="16" t="n">
        <f aca="false">INDEX(Curvas!$B$14:$B$112,MATCH(A41-1,Curvas!$A$14:$A$112,0))</f>
        <v>8095090</v>
      </c>
      <c r="C41" s="16" t="n">
        <f aca="false">INDEX(Curvas!$B$14:$B$112,MATCH(A41,Curvas!$A$14:$A$112,0))-B41</f>
        <v>1599140</v>
      </c>
      <c r="D41" s="16" t="n">
        <f aca="false">ROUND(B41*Parâmetros!$B$5,0)</f>
        <v>8095090</v>
      </c>
      <c r="E41" s="16" t="n">
        <f aca="false">ROUND(C41*Parâmetros!$B$5,0)</f>
        <v>1599140</v>
      </c>
      <c r="F41" s="24" t="n">
        <f aca="false">INDEX(Curvas!$G$14:$G$112,MATCH(A41,Curvas!$A$14:$A$112,0))*Parâmetros!$B$6</f>
        <v>896.4</v>
      </c>
      <c r="G41" s="16" t="n">
        <f aca="false">C41/F41</f>
        <v>1783.95805443998</v>
      </c>
      <c r="H41" s="16" t="n">
        <f aca="false">E41/F41</f>
        <v>1783.95805443998</v>
      </c>
      <c r="I41" s="16" t="n">
        <f aca="false">INDEX(Curvas!$G$14:$G$112,MATCH(A41+Parâmetros!$B$17,Curvas!$A$14:$A$112,0))*Parâmetros!$B$6*Parâmetros!$D$17</f>
        <v>3058.29</v>
      </c>
      <c r="J41" s="16" t="n">
        <f aca="false">INDEX(Curvas!$G$14:$G$112,MATCH(A41+Parâmetros!$B$19,Curvas!$A$14:$A$112,0))*Parâmetros!$B$6*Parâmetros!$D$19</f>
        <v>5432.85</v>
      </c>
      <c r="K41" s="16" t="n">
        <f aca="false">INDEX(Curvas!$G$14:$G$112,MATCH(A41+Parâmetros!$B$20,Curvas!$A$14:$A$112,0))*Parâmetros!$B$6*Parâmetros!$D$20</f>
        <v>5432.85</v>
      </c>
    </row>
    <row r="42" customFormat="false" ht="15" hidden="false" customHeight="false" outlineLevel="0" collapsed="false">
      <c r="A42" s="5" t="n">
        <v>38</v>
      </c>
      <c r="B42" s="16" t="n">
        <f aca="false">INDEX(Curvas!$B$14:$B$112,MATCH(A42-1,Curvas!$A$14:$A$112,0))</f>
        <v>9694230</v>
      </c>
      <c r="C42" s="16" t="n">
        <f aca="false">INDEX(Curvas!$B$14:$B$112,MATCH(A42,Curvas!$A$14:$A$112,0))-B42</f>
        <v>1904590</v>
      </c>
      <c r="D42" s="16" t="n">
        <f aca="false">ROUND(B42*Parâmetros!$B$5,0)</f>
        <v>9694230</v>
      </c>
      <c r="E42" s="16" t="n">
        <f aca="false">ROUND(C42*Parâmetros!$B$5,0)</f>
        <v>1904590</v>
      </c>
      <c r="F42" s="24" t="n">
        <f aca="false">INDEX(Curvas!$G$14:$G$112,MATCH(A42,Curvas!$A$14:$A$112,0))*Parâmetros!$B$6</f>
        <v>956.16</v>
      </c>
      <c r="G42" s="16" t="n">
        <f aca="false">C42/F42</f>
        <v>1991.9155789826</v>
      </c>
      <c r="H42" s="16" t="n">
        <f aca="false">E42/F42</f>
        <v>1991.9155789826</v>
      </c>
      <c r="I42" s="16" t="n">
        <f aca="false">INDEX(Curvas!$G$14:$G$112,MATCH(A42+Parâmetros!$B$17,Curvas!$A$14:$A$112,0))*Parâmetros!$B$6*Parâmetros!$D$17</f>
        <v>3259.71</v>
      </c>
      <c r="J42" s="16" t="n">
        <f aca="false">INDEX(Curvas!$G$14:$G$112,MATCH(A42+Parâmetros!$B$19,Curvas!$A$14:$A$112,0))*Parâmetros!$B$6*Parâmetros!$D$19</f>
        <v>5789.25</v>
      </c>
      <c r="K42" s="16" t="n">
        <f aca="false">INDEX(Curvas!$G$14:$G$112,MATCH(A42+Parâmetros!$B$20,Curvas!$A$14:$A$112,0))*Parâmetros!$B$6*Parâmetros!$D$20</f>
        <v>5789.25</v>
      </c>
    </row>
    <row r="43" customFormat="false" ht="15" hidden="false" customHeight="false" outlineLevel="0" collapsed="false">
      <c r="A43" s="5" t="n">
        <v>39</v>
      </c>
      <c r="B43" s="16" t="n">
        <f aca="false">INDEX(Curvas!$B$14:$B$112,MATCH(A43-1,Curvas!$A$14:$A$112,0))</f>
        <v>11598820</v>
      </c>
      <c r="C43" s="16" t="n">
        <f aca="false">INDEX(Curvas!$B$14:$B$112,MATCH(A43,Curvas!$A$14:$A$112,0))-B43</f>
        <v>2267020</v>
      </c>
      <c r="D43" s="16" t="n">
        <f aca="false">ROUND(B43*Parâmetros!$B$5,0)</f>
        <v>11598820</v>
      </c>
      <c r="E43" s="16" t="n">
        <f aca="false">ROUND(C43*Parâmetros!$B$5,0)</f>
        <v>2267020</v>
      </c>
      <c r="F43" s="24" t="n">
        <f aca="false">INDEX(Curvas!$G$14:$G$112,MATCH(A43,Curvas!$A$14:$A$112,0))*Parâmetros!$B$6</f>
        <v>1019.43</v>
      </c>
      <c r="G43" s="16" t="n">
        <f aca="false">C43/F43</f>
        <v>2223.81134555585</v>
      </c>
      <c r="H43" s="16" t="n">
        <f aca="false">E43/F43</f>
        <v>2223.81134555585</v>
      </c>
      <c r="I43" s="16" t="n">
        <f aca="false">INDEX(Curvas!$G$14:$G$112,MATCH(A43+Parâmetros!$B$17,Curvas!$A$14:$A$112,0))*Parâmetros!$B$6*Parâmetros!$D$17</f>
        <v>3473.55</v>
      </c>
      <c r="J43" s="16" t="n">
        <f aca="false">INDEX(Curvas!$G$14:$G$112,MATCH(A43+Parâmetros!$B$19,Curvas!$A$14:$A$112,0))*Parâmetros!$B$6*Parâmetros!$D$19</f>
        <v>6166.8</v>
      </c>
      <c r="K43" s="16" t="n">
        <f aca="false">INDEX(Curvas!$G$14:$G$112,MATCH(A43+Parâmetros!$B$20,Curvas!$A$14:$A$112,0))*Parâmetros!$B$6*Parâmetros!$D$20</f>
        <v>6166.8</v>
      </c>
    </row>
    <row r="44" customFormat="false" ht="15" hidden="false" customHeight="false" outlineLevel="0" collapsed="false">
      <c r="A44" s="5" t="n">
        <v>40</v>
      </c>
      <c r="B44" s="16" t="n">
        <f aca="false">INDEX(Curvas!$B$14:$B$112,MATCH(A44-1,Curvas!$A$14:$A$112,0))</f>
        <v>13865840</v>
      </c>
      <c r="C44" s="16" t="n">
        <f aca="false">INDEX(Curvas!$B$14:$B$112,MATCH(A44,Curvas!$A$14:$A$112,0))-B44</f>
        <v>2696900</v>
      </c>
      <c r="D44" s="16" t="n">
        <f aca="false">ROUND(B44*Parâmetros!$B$5,0)</f>
        <v>13865840</v>
      </c>
      <c r="E44" s="16" t="n">
        <f aca="false">ROUND(C44*Parâmetros!$B$5,0)</f>
        <v>2696900</v>
      </c>
      <c r="F44" s="24" t="n">
        <f aca="false">INDEX(Curvas!$G$14:$G$112,MATCH(A44,Curvas!$A$14:$A$112,0))*Parâmetros!$B$6</f>
        <v>1086.57</v>
      </c>
      <c r="G44" s="16" t="n">
        <f aca="false">C44/F44</f>
        <v>2482.03061008495</v>
      </c>
      <c r="H44" s="16" t="n">
        <f aca="false">E44/F44</f>
        <v>2482.03061008495</v>
      </c>
      <c r="I44" s="16" t="n">
        <f aca="false">INDEX(Curvas!$G$14:$G$112,MATCH(A44+Parâmetros!$B$17,Curvas!$A$14:$A$112,0))*Parâmetros!$B$6*Parâmetros!$D$17</f>
        <v>3700.08</v>
      </c>
      <c r="J44" s="16" t="n">
        <f aca="false">INDEX(Curvas!$G$14:$G$112,MATCH(A44+Parâmetros!$B$19,Curvas!$A$14:$A$112,0))*Parâmetros!$B$6*Parâmetros!$D$19</f>
        <v>6566.85</v>
      </c>
      <c r="K44" s="16" t="n">
        <f aca="false">INDEX(Curvas!$G$14:$G$112,MATCH(A44+Parâmetros!$B$20,Curvas!$A$14:$A$112,0))*Parâmetros!$B$6*Parâmetros!$D$20</f>
        <v>6566.85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3" t="s">
        <v>134</v>
      </c>
    </row>
    <row r="4" customFormat="false" ht="31.5" hidden="false" customHeight="true" outlineLevel="0" collapsed="false">
      <c r="A4" s="4" t="s">
        <v>135</v>
      </c>
      <c r="B4" s="4" t="s">
        <v>136</v>
      </c>
      <c r="C4" s="4" t="s">
        <v>137</v>
      </c>
      <c r="D4" s="4" t="s">
        <v>138</v>
      </c>
      <c r="E4" s="4" t="s">
        <v>139</v>
      </c>
      <c r="F4" s="4" t="s">
        <v>140</v>
      </c>
      <c r="G4" s="4" t="s">
        <v>141</v>
      </c>
      <c r="H4" s="4" t="s">
        <v>142</v>
      </c>
      <c r="I4" s="4" t="s">
        <v>143</v>
      </c>
      <c r="J4" s="4" t="s">
        <v>144</v>
      </c>
    </row>
    <row r="5" customFormat="false" ht="15" hidden="false" customHeight="false" outlineLevel="0" collapsed="false">
      <c r="A5" s="5" t="n">
        <v>1</v>
      </c>
      <c r="B5" s="25" t="n">
        <f aca="false">INDEX(Curvas!$C$14:$C$112,MATCH(A5,Curvas!$A$14:$A$112,0))</f>
        <v>5.5</v>
      </c>
      <c r="C5" s="25" t="n">
        <f aca="false">INDEX(Curvas!$D$14:$D$112,MATCH(A5,Curvas!$A$14:$A$112,0))</f>
        <v>1.69</v>
      </c>
      <c r="D5" s="16" t="n">
        <f aca="false">INDEX(Curvas!$G$14:$G$112,MATCH(A5,Curvas!$A$14:$A$112,0))*Parâmetros!$B$6</f>
        <v>23.04</v>
      </c>
      <c r="E5" s="16" t="n">
        <f aca="false">INDEX(Curvas!$C$14:$C$112,MATCH(A5+Parâmetros!$B$17,Curvas!$A$14:$A$112,0))*Parâmetros!$C$17</f>
        <v>37.5</v>
      </c>
      <c r="F5" s="16" t="n">
        <f aca="false">INDEX(Curvas!$G$14:$G$112,MATCH(A5+Parâmetros!$B$17,Curvas!$A$14:$A$112,0))*Parâmetros!$B$6*Parâmetros!$D$17</f>
        <v>133.38</v>
      </c>
      <c r="G5" s="16" t="n">
        <f aca="false">INDEX(Curvas!$C$14:$C$112,MATCH(A5+Parâmetros!$B$19,Curvas!$A$14:$A$112,0))*Parâmetros!$C$19</f>
        <v>62.8</v>
      </c>
      <c r="H5" s="16" t="n">
        <f aca="false">INDEX(Curvas!$G$14:$G$112,MATCH(A5+Parâmetros!$B$19,Curvas!$A$14:$A$112,0))*Parâmetros!$B$6*Parâmetros!$D$19</f>
        <v>270.45</v>
      </c>
      <c r="I5" s="16" t="n">
        <f aca="false">INDEX(Curvas!$C$14:$C$112,MATCH(A5+Parâmetros!$B$20,Curvas!$A$14:$A$112,0))*Parâmetros!$C$20</f>
        <v>31.4</v>
      </c>
      <c r="J5" s="16" t="n">
        <f aca="false">INDEX(Curvas!$G$14:$G$112,MATCH(A5+Parâmetros!$B$20,Curvas!$A$14:$A$112,0))*Parâmetros!$B$6*Parâmetros!$D$20</f>
        <v>270.45</v>
      </c>
    </row>
    <row r="6" customFormat="false" ht="15" hidden="false" customHeight="false" outlineLevel="0" collapsed="false">
      <c r="A6" s="5" t="n">
        <v>2</v>
      </c>
      <c r="B6" s="25" t="n">
        <f aca="false">INDEX(Curvas!$C$14:$C$112,MATCH(A6,Curvas!$A$14:$A$112,0))</f>
        <v>9.2</v>
      </c>
      <c r="C6" s="25" t="n">
        <f aca="false">INDEX(Curvas!$D$14:$D$112,MATCH(A6,Curvas!$A$14:$A$112,0))</f>
        <v>2.61</v>
      </c>
      <c r="D6" s="16" t="n">
        <f aca="false">INDEX(Curvas!$G$14:$G$112,MATCH(A6,Curvas!$A$14:$A$112,0))*Parâmetros!$B$6</f>
        <v>34.38</v>
      </c>
      <c r="E6" s="16" t="n">
        <f aca="false">INDEX(Curvas!$C$14:$C$112,MATCH(A6+Parâmetros!$B$17,Curvas!$A$14:$A$112,0))*Parâmetros!$C$17</f>
        <v>47.1</v>
      </c>
      <c r="F6" s="16" t="n">
        <f aca="false">INDEX(Curvas!$G$14:$G$112,MATCH(A6+Parâmetros!$B$17,Curvas!$A$14:$A$112,0))*Parâmetros!$B$6*Parâmetros!$D$17</f>
        <v>162.27</v>
      </c>
      <c r="G6" s="16" t="n">
        <f aca="false">INDEX(Curvas!$C$14:$C$112,MATCH(A6+Parâmetros!$B$19,Curvas!$A$14:$A$112,0))*Parâmetros!$C$19</f>
        <v>75.6</v>
      </c>
      <c r="H6" s="16" t="n">
        <f aca="false">INDEX(Curvas!$G$14:$G$112,MATCH(A6+Parâmetros!$B$19,Curvas!$A$14:$A$112,0))*Parâmetros!$B$6*Parâmetros!$D$19</f>
        <v>318.6</v>
      </c>
      <c r="I6" s="16" t="n">
        <f aca="false">INDEX(Curvas!$C$14:$C$112,MATCH(A6+Parâmetros!$B$20,Curvas!$A$14:$A$112,0))*Parâmetros!$C$20</f>
        <v>37.8</v>
      </c>
      <c r="J6" s="16" t="n">
        <f aca="false">INDEX(Curvas!$G$14:$G$112,MATCH(A6+Parâmetros!$B$20,Curvas!$A$14:$A$112,0))*Parâmetros!$B$6*Parâmetros!$D$20</f>
        <v>318.6</v>
      </c>
    </row>
    <row r="7" customFormat="false" ht="15" hidden="false" customHeight="false" outlineLevel="0" collapsed="false">
      <c r="A7" s="5" t="n">
        <v>3</v>
      </c>
      <c r="B7" s="25" t="n">
        <f aca="false">INDEX(Curvas!$C$14:$C$112,MATCH(A7,Curvas!$A$14:$A$112,0))</f>
        <v>12.5</v>
      </c>
      <c r="C7" s="25" t="n">
        <f aca="false">INDEX(Curvas!$D$14:$D$112,MATCH(A7,Curvas!$A$14:$A$112,0))</f>
        <v>3.37</v>
      </c>
      <c r="D7" s="16" t="n">
        <f aca="false">INDEX(Curvas!$G$14:$G$112,MATCH(A7,Curvas!$A$14:$A$112,0))*Parâmetros!$B$6</f>
        <v>44.46</v>
      </c>
      <c r="E7" s="16" t="n">
        <f aca="false">INDEX(Curvas!$C$14:$C$112,MATCH(A7+Parâmetros!$B$17,Curvas!$A$14:$A$112,0))*Parâmetros!$C$17</f>
        <v>56.7</v>
      </c>
      <c r="F7" s="16" t="n">
        <f aca="false">INDEX(Curvas!$G$14:$G$112,MATCH(A7+Parâmetros!$B$17,Curvas!$A$14:$A$112,0))*Parâmetros!$B$6*Parâmetros!$D$17</f>
        <v>191.16</v>
      </c>
      <c r="G7" s="16" t="n">
        <f aca="false">INDEX(Curvas!$C$14:$C$112,MATCH(A7+Parâmetros!$B$19,Curvas!$A$14:$A$112,0))*Parâmetros!$C$19</f>
        <v>88</v>
      </c>
      <c r="H7" s="16" t="n">
        <f aca="false">INDEX(Curvas!$G$14:$G$112,MATCH(A7+Parâmetros!$B$19,Curvas!$A$14:$A$112,0))*Parâmetros!$B$6*Parâmetros!$D$19</f>
        <v>367.65</v>
      </c>
      <c r="I7" s="16" t="n">
        <f aca="false">INDEX(Curvas!$C$14:$C$112,MATCH(A7+Parâmetros!$B$20,Curvas!$A$14:$A$112,0))*Parâmetros!$C$20</f>
        <v>44</v>
      </c>
      <c r="J7" s="16" t="n">
        <f aca="false">INDEX(Curvas!$G$14:$G$112,MATCH(A7+Parâmetros!$B$20,Curvas!$A$14:$A$112,0))*Parâmetros!$B$6*Parâmetros!$D$20</f>
        <v>367.65</v>
      </c>
    </row>
    <row r="8" customFormat="false" ht="15" hidden="false" customHeight="false" outlineLevel="0" collapsed="false">
      <c r="A8" s="5" t="n">
        <v>4</v>
      </c>
      <c r="B8" s="25" t="n">
        <f aca="false">INDEX(Curvas!$C$14:$C$112,MATCH(A8,Curvas!$A$14:$A$112,0))</f>
        <v>15.7</v>
      </c>
      <c r="C8" s="25" t="n">
        <f aca="false">INDEX(Curvas!$D$14:$D$112,MATCH(A8,Curvas!$A$14:$A$112,0))</f>
        <v>4.07</v>
      </c>
      <c r="D8" s="16" t="n">
        <f aca="false">INDEX(Curvas!$G$14:$G$112,MATCH(A8,Curvas!$A$14:$A$112,0))*Parâmetros!$B$6</f>
        <v>54.09</v>
      </c>
      <c r="E8" s="16" t="n">
        <f aca="false">INDEX(Curvas!$C$14:$C$112,MATCH(A8+Parâmetros!$B$17,Curvas!$A$14:$A$112,0))*Parâmetros!$C$17</f>
        <v>66</v>
      </c>
      <c r="F8" s="16" t="n">
        <f aca="false">INDEX(Curvas!$G$14:$G$112,MATCH(A8+Parâmetros!$B$17,Curvas!$A$14:$A$112,0))*Parâmetros!$B$6*Parâmetros!$D$17</f>
        <v>220.59</v>
      </c>
      <c r="G8" s="16" t="n">
        <f aca="false">INDEX(Curvas!$C$14:$C$112,MATCH(A8+Parâmetros!$B$19,Curvas!$A$14:$A$112,0))*Parâmetros!$C$19</f>
        <v>100.8</v>
      </c>
      <c r="H8" s="16" t="n">
        <f aca="false">INDEX(Curvas!$G$14:$G$112,MATCH(A8+Parâmetros!$B$19,Curvas!$A$14:$A$112,0))*Parâmetros!$B$6*Parâmetros!$D$19</f>
        <v>418.05</v>
      </c>
      <c r="I8" s="16" t="n">
        <f aca="false">INDEX(Curvas!$C$14:$C$112,MATCH(A8+Parâmetros!$B$20,Curvas!$A$14:$A$112,0))*Parâmetros!$C$20</f>
        <v>50.4</v>
      </c>
      <c r="J8" s="16" t="n">
        <f aca="false">INDEX(Curvas!$G$14:$G$112,MATCH(A8+Parâmetros!$B$20,Curvas!$A$14:$A$112,0))*Parâmetros!$B$6*Parâmetros!$D$20</f>
        <v>418.05</v>
      </c>
    </row>
    <row r="9" customFormat="false" ht="15" hidden="false" customHeight="false" outlineLevel="0" collapsed="false">
      <c r="A9" s="5" t="n">
        <v>5</v>
      </c>
      <c r="B9" s="25" t="n">
        <f aca="false">INDEX(Curvas!$C$14:$C$112,MATCH(A9,Curvas!$A$14:$A$112,0))</f>
        <v>18.9</v>
      </c>
      <c r="C9" s="25" t="n">
        <f aca="false">INDEX(Curvas!$D$14:$D$112,MATCH(A9,Curvas!$A$14:$A$112,0))</f>
        <v>4.71</v>
      </c>
      <c r="D9" s="16" t="n">
        <f aca="false">INDEX(Curvas!$G$14:$G$112,MATCH(A9,Curvas!$A$14:$A$112,0))*Parâmetros!$B$6</f>
        <v>63.72</v>
      </c>
      <c r="E9" s="16" t="n">
        <f aca="false">INDEX(Curvas!$C$14:$C$112,MATCH(A9+Parâmetros!$B$17,Curvas!$A$14:$A$112,0))*Parâmetros!$C$17</f>
        <v>75.6</v>
      </c>
      <c r="F9" s="16" t="n">
        <f aca="false">INDEX(Curvas!$G$14:$G$112,MATCH(A9+Parâmetros!$B$17,Curvas!$A$14:$A$112,0))*Parâmetros!$B$6*Parâmetros!$D$17</f>
        <v>250.83</v>
      </c>
      <c r="G9" s="16" t="n">
        <f aca="false">INDEX(Curvas!$C$14:$C$112,MATCH(A9+Parâmetros!$B$19,Curvas!$A$14:$A$112,0))*Parâmetros!$C$19</f>
        <v>113.6</v>
      </c>
      <c r="H9" s="16" t="n">
        <f aca="false">INDEX(Curvas!$G$14:$G$112,MATCH(A9+Parâmetros!$B$19,Curvas!$A$14:$A$112,0))*Parâmetros!$B$6*Parâmetros!$D$19</f>
        <v>470.7</v>
      </c>
      <c r="I9" s="16" t="n">
        <f aca="false">INDEX(Curvas!$C$14:$C$112,MATCH(A9+Parâmetros!$B$20,Curvas!$A$14:$A$112,0))*Parâmetros!$C$20</f>
        <v>56.8</v>
      </c>
      <c r="J9" s="16" t="n">
        <f aca="false">INDEX(Curvas!$G$14:$G$112,MATCH(A9+Parâmetros!$B$20,Curvas!$A$14:$A$112,0))*Parâmetros!$B$6*Parâmetros!$D$20</f>
        <v>470.7</v>
      </c>
    </row>
    <row r="10" customFormat="false" ht="15" hidden="false" customHeight="false" outlineLevel="0" collapsed="false">
      <c r="A10" s="5" t="n">
        <v>6</v>
      </c>
      <c r="B10" s="25" t="n">
        <f aca="false">INDEX(Curvas!$C$14:$C$112,MATCH(A10,Curvas!$A$14:$A$112,0))</f>
        <v>22</v>
      </c>
      <c r="C10" s="25" t="n">
        <f aca="false">INDEX(Curvas!$D$14:$D$112,MATCH(A10,Curvas!$A$14:$A$112,0))</f>
        <v>5.33</v>
      </c>
      <c r="D10" s="16" t="n">
        <f aca="false">INDEX(Curvas!$G$14:$G$112,MATCH(A10,Curvas!$A$14:$A$112,0))*Parâmetros!$B$6</f>
        <v>73.53</v>
      </c>
      <c r="E10" s="16" t="n">
        <f aca="false">INDEX(Curvas!$C$14:$C$112,MATCH(A10+Parâmetros!$B$17,Curvas!$A$14:$A$112,0))*Parâmetros!$C$17</f>
        <v>85.2</v>
      </c>
      <c r="F10" s="16" t="n">
        <f aca="false">INDEX(Curvas!$G$14:$G$112,MATCH(A10+Parâmetros!$B$17,Curvas!$A$14:$A$112,0))*Parâmetros!$B$6*Parâmetros!$D$17</f>
        <v>282.42</v>
      </c>
      <c r="G10" s="16" t="n">
        <f aca="false">INDEX(Curvas!$C$14:$C$112,MATCH(A10+Parâmetros!$B$19,Curvas!$A$14:$A$112,0))*Parâmetros!$C$19</f>
        <v>126.8</v>
      </c>
      <c r="H10" s="16" t="n">
        <f aca="false">INDEX(Curvas!$G$14:$G$112,MATCH(A10+Parâmetros!$B$19,Curvas!$A$14:$A$112,0))*Parâmetros!$B$6*Parâmetros!$D$19</f>
        <v>526.05</v>
      </c>
      <c r="I10" s="16" t="n">
        <f aca="false">INDEX(Curvas!$C$14:$C$112,MATCH(A10+Parâmetros!$B$20,Curvas!$A$14:$A$112,0))*Parâmetros!$C$20</f>
        <v>63.4</v>
      </c>
      <c r="J10" s="16" t="n">
        <f aca="false">INDEX(Curvas!$G$14:$G$112,MATCH(A10+Parâmetros!$B$20,Curvas!$A$14:$A$112,0))*Parâmetros!$B$6*Parâmetros!$D$20</f>
        <v>526.05</v>
      </c>
    </row>
    <row r="11" customFormat="false" ht="15" hidden="false" customHeight="false" outlineLevel="0" collapsed="false">
      <c r="A11" s="5" t="n">
        <v>7</v>
      </c>
      <c r="B11" s="25" t="n">
        <f aca="false">INDEX(Curvas!$C$14:$C$112,MATCH(A11,Curvas!$A$14:$A$112,0))</f>
        <v>25.2</v>
      </c>
      <c r="C11" s="25" t="n">
        <f aca="false">INDEX(Curvas!$D$14:$D$112,MATCH(A11,Curvas!$A$14:$A$112,0))</f>
        <v>5.92</v>
      </c>
      <c r="D11" s="16" t="n">
        <f aca="false">INDEX(Curvas!$G$14:$G$112,MATCH(A11,Curvas!$A$14:$A$112,0))*Parâmetros!$B$6</f>
        <v>83.61</v>
      </c>
      <c r="E11" s="16" t="n">
        <f aca="false">INDEX(Curvas!$C$14:$C$112,MATCH(A11+Parâmetros!$B$17,Curvas!$A$14:$A$112,0))*Parâmetros!$C$17</f>
        <v>95.1</v>
      </c>
      <c r="F11" s="16" t="n">
        <f aca="false">INDEX(Curvas!$G$14:$G$112,MATCH(A11+Parâmetros!$B$17,Curvas!$A$14:$A$112,0))*Parâmetros!$B$6*Parâmetros!$D$17</f>
        <v>315.63</v>
      </c>
      <c r="G11" s="16" t="n">
        <f aca="false">INDEX(Curvas!$C$14:$C$112,MATCH(A11+Parâmetros!$B$19,Curvas!$A$14:$A$112,0))*Parâmetros!$C$19</f>
        <v>140</v>
      </c>
      <c r="H11" s="16" t="n">
        <f aca="false">INDEX(Curvas!$G$14:$G$112,MATCH(A11+Parâmetros!$B$19,Curvas!$A$14:$A$112,0))*Parâmetros!$B$6*Parâmetros!$D$19</f>
        <v>583.65</v>
      </c>
      <c r="I11" s="16" t="n">
        <f aca="false">INDEX(Curvas!$C$14:$C$112,MATCH(A11+Parâmetros!$B$20,Curvas!$A$14:$A$112,0))*Parâmetros!$C$20</f>
        <v>70</v>
      </c>
      <c r="J11" s="16" t="n">
        <f aca="false">INDEX(Curvas!$G$14:$G$112,MATCH(A11+Parâmetros!$B$20,Curvas!$A$14:$A$112,0))*Parâmetros!$B$6*Parâmetros!$D$20</f>
        <v>583.65</v>
      </c>
    </row>
    <row r="12" customFormat="false" ht="15" hidden="false" customHeight="false" outlineLevel="0" collapsed="false">
      <c r="A12" s="5" t="n">
        <v>8</v>
      </c>
      <c r="B12" s="25" t="n">
        <f aca="false">INDEX(Curvas!$C$14:$C$112,MATCH(A12,Curvas!$A$14:$A$112,0))</f>
        <v>28.4</v>
      </c>
      <c r="C12" s="25" t="n">
        <f aca="false">INDEX(Curvas!$D$14:$D$112,MATCH(A12,Curvas!$A$14:$A$112,0))</f>
        <v>6.49</v>
      </c>
      <c r="D12" s="16" t="n">
        <f aca="false">INDEX(Curvas!$G$14:$G$112,MATCH(A12,Curvas!$A$14:$A$112,0))*Parâmetros!$B$6</f>
        <v>94.14</v>
      </c>
      <c r="E12" s="16" t="n">
        <f aca="false">INDEX(Curvas!$C$14:$C$112,MATCH(A12+Parâmetros!$B$17,Curvas!$A$14:$A$112,0))*Parâmetros!$C$17</f>
        <v>105</v>
      </c>
      <c r="F12" s="16" t="n">
        <f aca="false">INDEX(Curvas!$G$14:$G$112,MATCH(A12+Parâmetros!$B$17,Curvas!$A$14:$A$112,0))*Parâmetros!$B$6*Parâmetros!$D$17</f>
        <v>350.19</v>
      </c>
      <c r="G12" s="16" t="n">
        <f aca="false">INDEX(Curvas!$C$14:$C$112,MATCH(A12+Parâmetros!$B$19,Curvas!$A$14:$A$112,0))*Parâmetros!$C$19</f>
        <v>153.6</v>
      </c>
      <c r="H12" s="16" t="n">
        <f aca="false">INDEX(Curvas!$G$14:$G$112,MATCH(A12+Parâmetros!$B$19,Curvas!$A$14:$A$112,0))*Parâmetros!$B$6*Parâmetros!$D$19</f>
        <v>644.4</v>
      </c>
      <c r="I12" s="16" t="n">
        <f aca="false">INDEX(Curvas!$C$14:$C$112,MATCH(A12+Parâmetros!$B$20,Curvas!$A$14:$A$112,0))*Parâmetros!$C$20</f>
        <v>76.8</v>
      </c>
      <c r="J12" s="16" t="n">
        <f aca="false">INDEX(Curvas!$G$14:$G$112,MATCH(A12+Parâmetros!$B$20,Curvas!$A$14:$A$112,0))*Parâmetros!$B$6*Parâmetros!$D$20</f>
        <v>644.4</v>
      </c>
    </row>
    <row r="13" customFormat="false" ht="15" hidden="false" customHeight="false" outlineLevel="0" collapsed="false">
      <c r="A13" s="5" t="n">
        <v>9</v>
      </c>
      <c r="B13" s="25" t="n">
        <f aca="false">INDEX(Curvas!$C$14:$C$112,MATCH(A13,Curvas!$A$14:$A$112,0))</f>
        <v>31.7</v>
      </c>
      <c r="C13" s="25" t="n">
        <f aca="false">INDEX(Curvas!$D$14:$D$112,MATCH(A13,Curvas!$A$14:$A$112,0))</f>
        <v>7.05</v>
      </c>
      <c r="D13" s="16" t="n">
        <f aca="false">INDEX(Curvas!$G$14:$G$112,MATCH(A13,Curvas!$A$14:$A$112,0))*Parâmetros!$B$6</f>
        <v>105.21</v>
      </c>
      <c r="E13" s="16" t="n">
        <f aca="false">INDEX(Curvas!$C$14:$C$112,MATCH(A13+Parâmetros!$B$17,Curvas!$A$14:$A$112,0))*Parâmetros!$C$17</f>
        <v>115.2</v>
      </c>
      <c r="F13" s="16" t="n">
        <f aca="false">INDEX(Curvas!$G$14:$G$112,MATCH(A13+Parâmetros!$B$17,Curvas!$A$14:$A$112,0))*Parâmetros!$B$6*Parâmetros!$D$17</f>
        <v>386.64</v>
      </c>
      <c r="G13" s="16" t="n">
        <f aca="false">INDEX(Curvas!$C$14:$C$112,MATCH(A13+Parâmetros!$B$19,Curvas!$A$14:$A$112,0))*Parâmetros!$C$19</f>
        <v>167.6</v>
      </c>
      <c r="H13" s="16" t="n">
        <f aca="false">INDEX(Curvas!$G$14:$G$112,MATCH(A13+Parâmetros!$B$19,Curvas!$A$14:$A$112,0))*Parâmetros!$B$6*Parâmetros!$D$19</f>
        <v>708.75</v>
      </c>
      <c r="I13" s="16" t="n">
        <f aca="false">INDEX(Curvas!$C$14:$C$112,MATCH(A13+Parâmetros!$B$20,Curvas!$A$14:$A$112,0))*Parâmetros!$C$20</f>
        <v>83.8</v>
      </c>
      <c r="J13" s="16" t="n">
        <f aca="false">INDEX(Curvas!$G$14:$G$112,MATCH(A13+Parâmetros!$B$20,Curvas!$A$14:$A$112,0))*Parâmetros!$B$6*Parâmetros!$D$20</f>
        <v>708.75</v>
      </c>
    </row>
    <row r="14" customFormat="false" ht="15" hidden="false" customHeight="false" outlineLevel="0" collapsed="false">
      <c r="A14" s="5" t="n">
        <v>10</v>
      </c>
      <c r="B14" s="25" t="n">
        <f aca="false">INDEX(Curvas!$C$14:$C$112,MATCH(A14,Curvas!$A$14:$A$112,0))</f>
        <v>35</v>
      </c>
      <c r="C14" s="25" t="n">
        <f aca="false">INDEX(Curvas!$D$14:$D$112,MATCH(A14,Curvas!$A$14:$A$112,0))</f>
        <v>7.6</v>
      </c>
      <c r="D14" s="16" t="n">
        <f aca="false">INDEX(Curvas!$G$14:$G$112,MATCH(A14,Curvas!$A$14:$A$112,0))*Parâmetros!$B$6</f>
        <v>116.73</v>
      </c>
      <c r="E14" s="16" t="n">
        <f aca="false">INDEX(Curvas!$C$14:$C$112,MATCH(A14+Parâmetros!$B$17,Curvas!$A$14:$A$112,0))*Parâmetros!$C$17</f>
        <v>125.7</v>
      </c>
      <c r="F14" s="16" t="n">
        <f aca="false">INDEX(Curvas!$G$14:$G$112,MATCH(A14+Parâmetros!$B$17,Curvas!$A$14:$A$112,0))*Parâmetros!$B$6*Parâmetros!$D$17</f>
        <v>425.25</v>
      </c>
      <c r="G14" s="16" t="n">
        <f aca="false">INDEX(Curvas!$C$14:$C$112,MATCH(A14+Parâmetros!$B$19,Curvas!$A$14:$A$112,0))*Parâmetros!$C$19</f>
        <v>182.4</v>
      </c>
      <c r="H14" s="16" t="n">
        <f aca="false">INDEX(Curvas!$G$14:$G$112,MATCH(A14+Parâmetros!$B$19,Curvas!$A$14:$A$112,0))*Parâmetros!$B$6*Parâmetros!$D$19</f>
        <v>776.7</v>
      </c>
      <c r="I14" s="16" t="n">
        <f aca="false">INDEX(Curvas!$C$14:$C$112,MATCH(A14+Parâmetros!$B$20,Curvas!$A$14:$A$112,0))*Parâmetros!$C$20</f>
        <v>91.2</v>
      </c>
      <c r="J14" s="16" t="n">
        <f aca="false">INDEX(Curvas!$G$14:$G$112,MATCH(A14+Parâmetros!$B$20,Curvas!$A$14:$A$112,0))*Parâmetros!$B$6*Parâmetros!$D$20</f>
        <v>776.7</v>
      </c>
    </row>
    <row r="15" customFormat="false" ht="15" hidden="false" customHeight="false" outlineLevel="0" collapsed="false">
      <c r="A15" s="5" t="n">
        <v>11</v>
      </c>
      <c r="B15" s="25" t="n">
        <f aca="false">INDEX(Curvas!$C$14:$C$112,MATCH(A15,Curvas!$A$14:$A$112,0))</f>
        <v>38.4</v>
      </c>
      <c r="C15" s="25" t="n">
        <f aca="false">INDEX(Curvas!$D$14:$D$112,MATCH(A15,Curvas!$A$14:$A$112,0))</f>
        <v>8.15</v>
      </c>
      <c r="D15" s="16" t="n">
        <f aca="false">INDEX(Curvas!$G$14:$G$112,MATCH(A15,Curvas!$A$14:$A$112,0))*Parâmetros!$B$6</f>
        <v>128.88</v>
      </c>
      <c r="E15" s="16" t="n">
        <f aca="false">INDEX(Curvas!$C$14:$C$112,MATCH(A15+Parâmetros!$B$17,Curvas!$A$14:$A$112,0))*Parâmetros!$C$17</f>
        <v>136.8</v>
      </c>
      <c r="F15" s="16" t="n">
        <f aca="false">INDEX(Curvas!$G$14:$G$112,MATCH(A15+Parâmetros!$B$17,Curvas!$A$14:$A$112,0))*Parâmetros!$B$6*Parâmetros!$D$17</f>
        <v>466.02</v>
      </c>
      <c r="G15" s="16" t="n">
        <f aca="false">INDEX(Curvas!$C$14:$C$112,MATCH(A15+Parâmetros!$B$19,Curvas!$A$14:$A$112,0))*Parâmetros!$C$19</f>
        <v>197.2</v>
      </c>
      <c r="H15" s="16" t="n">
        <f aca="false">INDEX(Curvas!$G$14:$G$112,MATCH(A15+Parâmetros!$B$19,Curvas!$A$14:$A$112,0))*Parâmetros!$B$6*Parâmetros!$D$19</f>
        <v>848.7</v>
      </c>
      <c r="I15" s="16" t="n">
        <f aca="false">INDEX(Curvas!$C$14:$C$112,MATCH(A15+Parâmetros!$B$20,Curvas!$A$14:$A$112,0))*Parâmetros!$C$20</f>
        <v>98.6</v>
      </c>
      <c r="J15" s="16" t="n">
        <f aca="false">INDEX(Curvas!$G$14:$G$112,MATCH(A15+Parâmetros!$B$20,Curvas!$A$14:$A$112,0))*Parâmetros!$B$6*Parâmetros!$D$20</f>
        <v>848.7</v>
      </c>
    </row>
    <row r="16" customFormat="false" ht="15" hidden="false" customHeight="false" outlineLevel="0" collapsed="false">
      <c r="A16" s="5" t="n">
        <v>12</v>
      </c>
      <c r="B16" s="25" t="n">
        <f aca="false">INDEX(Curvas!$C$14:$C$112,MATCH(A16,Curvas!$A$14:$A$112,0))</f>
        <v>41.9</v>
      </c>
      <c r="C16" s="25" t="n">
        <f aca="false">INDEX(Curvas!$D$14:$D$112,MATCH(A16,Curvas!$A$14:$A$112,0))</f>
        <v>8.69</v>
      </c>
      <c r="D16" s="16" t="n">
        <f aca="false">INDEX(Curvas!$G$14:$G$112,MATCH(A16,Curvas!$A$14:$A$112,0))*Parâmetros!$B$6</f>
        <v>141.75</v>
      </c>
      <c r="E16" s="16" t="n">
        <f aca="false">INDEX(Curvas!$C$14:$C$112,MATCH(A16+Parâmetros!$B$17,Curvas!$A$14:$A$112,0))*Parâmetros!$C$17</f>
        <v>147.9</v>
      </c>
      <c r="F16" s="16" t="n">
        <f aca="false">INDEX(Curvas!$G$14:$G$112,MATCH(A16+Parâmetros!$B$17,Curvas!$A$14:$A$112,0))*Parâmetros!$B$6*Parâmetros!$D$17</f>
        <v>509.22</v>
      </c>
      <c r="G16" s="16" t="n">
        <f aca="false">INDEX(Curvas!$C$14:$C$112,MATCH(A16+Parâmetros!$B$19,Curvas!$A$14:$A$112,0))*Parâmetros!$C$19</f>
        <v>212.4</v>
      </c>
      <c r="H16" s="16" t="n">
        <f aca="false">INDEX(Curvas!$G$14:$G$112,MATCH(A16+Parâmetros!$B$19,Curvas!$A$14:$A$112,0))*Parâmetros!$B$6*Parâmetros!$D$19</f>
        <v>924.75</v>
      </c>
      <c r="I16" s="16" t="n">
        <f aca="false">INDEX(Curvas!$C$14:$C$112,MATCH(A16+Parâmetros!$B$20,Curvas!$A$14:$A$112,0))*Parâmetros!$C$20</f>
        <v>106.2</v>
      </c>
      <c r="J16" s="16" t="n">
        <f aca="false">INDEX(Curvas!$G$14:$G$112,MATCH(A16+Parâmetros!$B$20,Curvas!$A$14:$A$112,0))*Parâmetros!$B$6*Parâmetros!$D$20</f>
        <v>924.75</v>
      </c>
    </row>
    <row r="17" customFormat="false" ht="15" hidden="false" customHeight="false" outlineLevel="0" collapsed="false">
      <c r="A17" s="5" t="n">
        <v>13</v>
      </c>
      <c r="B17" s="25" t="n">
        <f aca="false">INDEX(Curvas!$C$14:$C$112,MATCH(A17,Curvas!$A$14:$A$112,0))</f>
        <v>45.6</v>
      </c>
      <c r="C17" s="25" t="n">
        <f aca="false">INDEX(Curvas!$D$14:$D$112,MATCH(A17,Curvas!$A$14:$A$112,0))</f>
        <v>9.23</v>
      </c>
      <c r="D17" s="16" t="n">
        <f aca="false">INDEX(Curvas!$G$14:$G$112,MATCH(A17,Curvas!$A$14:$A$112,0))*Parâmetros!$B$6</f>
        <v>155.34</v>
      </c>
      <c r="E17" s="16" t="n">
        <f aca="false">INDEX(Curvas!$C$14:$C$112,MATCH(A17+Parâmetros!$B$17,Curvas!$A$14:$A$112,0))*Parâmetros!$C$17</f>
        <v>159.3</v>
      </c>
      <c r="F17" s="16" t="n">
        <f aca="false">INDEX(Curvas!$G$14:$G$112,MATCH(A17+Parâmetros!$B$17,Curvas!$A$14:$A$112,0))*Parâmetros!$B$6*Parâmetros!$D$17</f>
        <v>554.85</v>
      </c>
      <c r="G17" s="16" t="n">
        <f aca="false">INDEX(Curvas!$C$14:$C$112,MATCH(A17+Parâmetros!$B$19,Curvas!$A$14:$A$112,0))*Parâmetros!$C$19</f>
        <v>228.4</v>
      </c>
      <c r="H17" s="16" t="n">
        <f aca="false">INDEX(Curvas!$G$14:$G$112,MATCH(A17+Parâmetros!$B$19,Curvas!$A$14:$A$112,0))*Parâmetros!$B$6*Parâmetros!$D$19</f>
        <v>1005.3</v>
      </c>
      <c r="I17" s="16" t="n">
        <f aca="false">INDEX(Curvas!$C$14:$C$112,MATCH(A17+Parâmetros!$B$20,Curvas!$A$14:$A$112,0))*Parâmetros!$C$20</f>
        <v>114.2</v>
      </c>
      <c r="J17" s="16" t="n">
        <f aca="false">INDEX(Curvas!$G$14:$G$112,MATCH(A17+Parâmetros!$B$20,Curvas!$A$14:$A$112,0))*Parâmetros!$B$6*Parâmetros!$D$20</f>
        <v>1005.3</v>
      </c>
    </row>
    <row r="18" customFormat="false" ht="15" hidden="false" customHeight="false" outlineLevel="0" collapsed="false">
      <c r="A18" s="5" t="n">
        <v>14</v>
      </c>
      <c r="B18" s="25" t="n">
        <f aca="false">INDEX(Curvas!$C$14:$C$112,MATCH(A18,Curvas!$A$14:$A$112,0))</f>
        <v>49.3</v>
      </c>
      <c r="C18" s="25" t="n">
        <f aca="false">INDEX(Curvas!$D$14:$D$112,MATCH(A18,Curvas!$A$14:$A$112,0))</f>
        <v>9.76</v>
      </c>
      <c r="D18" s="16" t="n">
        <f aca="false">INDEX(Curvas!$G$14:$G$112,MATCH(A18,Curvas!$A$14:$A$112,0))*Parâmetros!$B$6</f>
        <v>169.74</v>
      </c>
      <c r="E18" s="16" t="n">
        <f aca="false">INDEX(Curvas!$C$14:$C$112,MATCH(A18+Parâmetros!$B$17,Curvas!$A$14:$A$112,0))*Parâmetros!$C$17</f>
        <v>171.3</v>
      </c>
      <c r="F18" s="16" t="n">
        <f aca="false">INDEX(Curvas!$G$14:$G$112,MATCH(A18+Parâmetros!$B$17,Curvas!$A$14:$A$112,0))*Parâmetros!$B$6*Parâmetros!$D$17</f>
        <v>603.18</v>
      </c>
      <c r="G18" s="16" t="n">
        <f aca="false">INDEX(Curvas!$C$14:$C$112,MATCH(A18+Parâmetros!$B$19,Curvas!$A$14:$A$112,0))*Parâmetros!$C$19</f>
        <v>244.4</v>
      </c>
      <c r="H18" s="16" t="n">
        <f aca="false">INDEX(Curvas!$G$14:$G$112,MATCH(A18+Parâmetros!$B$19,Curvas!$A$14:$A$112,0))*Parâmetros!$B$6*Parâmetros!$D$19</f>
        <v>1090.8</v>
      </c>
      <c r="I18" s="16" t="n">
        <f aca="false">INDEX(Curvas!$C$14:$C$112,MATCH(A18+Parâmetros!$B$20,Curvas!$A$14:$A$112,0))*Parâmetros!$C$20</f>
        <v>122.2</v>
      </c>
      <c r="J18" s="16" t="n">
        <f aca="false">INDEX(Curvas!$G$14:$G$112,MATCH(A18+Parâmetros!$B$20,Curvas!$A$14:$A$112,0))*Parâmetros!$B$6*Parâmetros!$D$20</f>
        <v>1090.8</v>
      </c>
    </row>
    <row r="19" customFormat="false" ht="15" hidden="false" customHeight="false" outlineLevel="0" collapsed="false">
      <c r="A19" s="5" t="n">
        <v>15</v>
      </c>
      <c r="B19" s="25" t="n">
        <f aca="false">INDEX(Curvas!$C$14:$C$112,MATCH(A19,Curvas!$A$14:$A$112,0))</f>
        <v>53.1</v>
      </c>
      <c r="C19" s="25" t="n">
        <f aca="false">INDEX(Curvas!$D$14:$D$112,MATCH(A19,Curvas!$A$14:$A$112,0))</f>
        <v>10.3</v>
      </c>
      <c r="D19" s="16" t="n">
        <f aca="false">INDEX(Curvas!$G$14:$G$112,MATCH(A19,Curvas!$A$14:$A$112,0))*Parâmetros!$B$6</f>
        <v>184.95</v>
      </c>
      <c r="E19" s="16" t="n">
        <f aca="false">INDEX(Curvas!$C$14:$C$112,MATCH(A19+Parâmetros!$B$17,Curvas!$A$14:$A$112,0))*Parâmetros!$C$17</f>
        <v>183.3</v>
      </c>
      <c r="F19" s="16" t="n">
        <f aca="false">INDEX(Curvas!$G$14:$G$112,MATCH(A19+Parâmetros!$B$17,Curvas!$A$14:$A$112,0))*Parâmetros!$B$6*Parâmetros!$D$17</f>
        <v>654.48</v>
      </c>
      <c r="G19" s="16" t="n">
        <f aca="false">INDEX(Curvas!$C$14:$C$112,MATCH(A19+Parâmetros!$B$19,Curvas!$A$14:$A$112,0))*Parâmetros!$C$19</f>
        <v>261.6</v>
      </c>
      <c r="H19" s="16" t="n">
        <f aca="false">INDEX(Curvas!$G$14:$G$112,MATCH(A19+Parâmetros!$B$19,Curvas!$A$14:$A$112,0))*Parâmetros!$B$6*Parâmetros!$D$19</f>
        <v>1181.7</v>
      </c>
      <c r="I19" s="16" t="n">
        <f aca="false">INDEX(Curvas!$C$14:$C$112,MATCH(A19+Parâmetros!$B$20,Curvas!$A$14:$A$112,0))*Parâmetros!$C$20</f>
        <v>130.8</v>
      </c>
      <c r="J19" s="16" t="n">
        <f aca="false">INDEX(Curvas!$G$14:$G$112,MATCH(A19+Parâmetros!$B$20,Curvas!$A$14:$A$112,0))*Parâmetros!$B$6*Parâmetros!$D$20</f>
        <v>1181.7</v>
      </c>
    </row>
    <row r="20" customFormat="false" ht="15" hidden="false" customHeight="false" outlineLevel="0" collapsed="false">
      <c r="A20" s="5" t="n">
        <v>16</v>
      </c>
      <c r="B20" s="25" t="n">
        <f aca="false">INDEX(Curvas!$C$14:$C$112,MATCH(A20,Curvas!$A$14:$A$112,0))</f>
        <v>57.1</v>
      </c>
      <c r="C20" s="25" t="n">
        <f aca="false">INDEX(Curvas!$D$14:$D$112,MATCH(A20,Curvas!$A$14:$A$112,0))</f>
        <v>10.83</v>
      </c>
      <c r="D20" s="16" t="n">
        <f aca="false">INDEX(Curvas!$G$14:$G$112,MATCH(A20,Curvas!$A$14:$A$112,0))*Parâmetros!$B$6</f>
        <v>201.06</v>
      </c>
      <c r="E20" s="16" t="n">
        <f aca="false">INDEX(Curvas!$C$14:$C$112,MATCH(A20+Parâmetros!$B$17,Curvas!$A$14:$A$112,0))*Parâmetros!$C$17</f>
        <v>196.2</v>
      </c>
      <c r="F20" s="16" t="n">
        <f aca="false">INDEX(Curvas!$G$14:$G$112,MATCH(A20+Parâmetros!$B$17,Curvas!$A$14:$A$112,0))*Parâmetros!$B$6*Parâmetros!$D$17</f>
        <v>709.02</v>
      </c>
      <c r="G20" s="16" t="n">
        <f aca="false">INDEX(Curvas!$C$14:$C$112,MATCH(A20+Parâmetros!$B$19,Curvas!$A$14:$A$112,0))*Parâmetros!$C$19</f>
        <v>278.8</v>
      </c>
      <c r="H20" s="16" t="n">
        <f aca="false">INDEX(Curvas!$G$14:$G$112,MATCH(A20+Parâmetros!$B$19,Curvas!$A$14:$A$112,0))*Parâmetros!$B$6*Parâmetros!$D$19</f>
        <v>1278</v>
      </c>
      <c r="I20" s="16" t="n">
        <f aca="false">INDEX(Curvas!$C$14:$C$112,MATCH(A20+Parâmetros!$B$20,Curvas!$A$14:$A$112,0))*Parâmetros!$C$20</f>
        <v>139.4</v>
      </c>
      <c r="J20" s="16" t="n">
        <f aca="false">INDEX(Curvas!$G$14:$G$112,MATCH(A20+Parâmetros!$B$20,Curvas!$A$14:$A$112,0))*Parâmetros!$B$6*Parâmetros!$D$20</f>
        <v>1278</v>
      </c>
    </row>
    <row r="21" customFormat="false" ht="15" hidden="false" customHeight="false" outlineLevel="0" collapsed="false">
      <c r="A21" s="5" t="n">
        <v>17</v>
      </c>
      <c r="B21" s="25" t="n">
        <f aca="false">INDEX(Curvas!$C$14:$C$112,MATCH(A21,Curvas!$A$14:$A$112,0))</f>
        <v>61.1</v>
      </c>
      <c r="C21" s="25" t="n">
        <f aca="false">INDEX(Curvas!$D$14:$D$112,MATCH(A21,Curvas!$A$14:$A$112,0))</f>
        <v>11.36</v>
      </c>
      <c r="D21" s="16" t="n">
        <f aca="false">INDEX(Curvas!$G$14:$G$112,MATCH(A21,Curvas!$A$14:$A$112,0))*Parâmetros!$B$6</f>
        <v>218.16</v>
      </c>
      <c r="E21" s="16" t="n">
        <f aca="false">INDEX(Curvas!$C$14:$C$112,MATCH(A21+Parâmetros!$B$17,Curvas!$A$14:$A$112,0))*Parâmetros!$C$17</f>
        <v>209.1</v>
      </c>
      <c r="F21" s="16" t="n">
        <f aca="false">INDEX(Curvas!$G$14:$G$112,MATCH(A21+Parâmetros!$B$17,Curvas!$A$14:$A$112,0))*Parâmetros!$B$6*Parâmetros!$D$17</f>
        <v>766.8</v>
      </c>
      <c r="G21" s="16" t="n">
        <f aca="false">INDEX(Curvas!$C$14:$C$112,MATCH(A21+Parâmetros!$B$19,Curvas!$A$14:$A$112,0))*Parâmetros!$C$19</f>
        <v>296.8</v>
      </c>
      <c r="H21" s="16" t="n">
        <f aca="false">INDEX(Curvas!$G$14:$G$112,MATCH(A21+Parâmetros!$B$19,Curvas!$A$14:$A$112,0))*Parâmetros!$B$6*Parâmetros!$D$19</f>
        <v>1380.15</v>
      </c>
      <c r="I21" s="16" t="n">
        <f aca="false">INDEX(Curvas!$C$14:$C$112,MATCH(A21+Parâmetros!$B$20,Curvas!$A$14:$A$112,0))*Parâmetros!$C$20</f>
        <v>148.4</v>
      </c>
      <c r="J21" s="16" t="n">
        <f aca="false">INDEX(Curvas!$G$14:$G$112,MATCH(A21+Parâmetros!$B$20,Curvas!$A$14:$A$112,0))*Parâmetros!$B$6*Parâmetros!$D$20</f>
        <v>1380.15</v>
      </c>
    </row>
    <row r="22" customFormat="false" ht="15" hidden="false" customHeight="false" outlineLevel="0" collapsed="false">
      <c r="A22" s="5" t="n">
        <v>18</v>
      </c>
      <c r="B22" s="25" t="n">
        <f aca="false">INDEX(Curvas!$C$14:$C$112,MATCH(A22,Curvas!$A$14:$A$112,0))</f>
        <v>65.4</v>
      </c>
      <c r="C22" s="25" t="n">
        <f aca="false">INDEX(Curvas!$D$14:$D$112,MATCH(A22,Curvas!$A$14:$A$112,0))</f>
        <v>11.9</v>
      </c>
      <c r="D22" s="16" t="n">
        <f aca="false">INDEX(Curvas!$G$14:$G$112,MATCH(A22,Curvas!$A$14:$A$112,0))*Parâmetros!$B$6</f>
        <v>236.34</v>
      </c>
      <c r="E22" s="16" t="n">
        <f aca="false">INDEX(Curvas!$C$14:$C$112,MATCH(A22+Parâmetros!$B$17,Curvas!$A$14:$A$112,0))*Parâmetros!$C$17</f>
        <v>222.6</v>
      </c>
      <c r="F22" s="16" t="n">
        <f aca="false">INDEX(Curvas!$G$14:$G$112,MATCH(A22+Parâmetros!$B$17,Curvas!$A$14:$A$112,0))*Parâmetros!$B$6*Parâmetros!$D$17</f>
        <v>828.09</v>
      </c>
      <c r="G22" s="16" t="n">
        <f aca="false">INDEX(Curvas!$C$14:$C$112,MATCH(A22+Parâmetros!$B$19,Curvas!$A$14:$A$112,0))*Parâmetros!$C$19</f>
        <v>315.6</v>
      </c>
      <c r="H22" s="16" t="n">
        <f aca="false">INDEX(Curvas!$G$14:$G$112,MATCH(A22+Parâmetros!$B$19,Curvas!$A$14:$A$112,0))*Parâmetros!$B$6*Parâmetros!$D$19</f>
        <v>1488.6</v>
      </c>
      <c r="I22" s="16" t="n">
        <f aca="false">INDEX(Curvas!$C$14:$C$112,MATCH(A22+Parâmetros!$B$20,Curvas!$A$14:$A$112,0))*Parâmetros!$C$20</f>
        <v>157.8</v>
      </c>
      <c r="J22" s="16" t="n">
        <f aca="false">INDEX(Curvas!$G$14:$G$112,MATCH(A22+Parâmetros!$B$20,Curvas!$A$14:$A$112,0))*Parâmetros!$B$6*Parâmetros!$D$20</f>
        <v>1488.6</v>
      </c>
    </row>
    <row r="23" customFormat="false" ht="15" hidden="false" customHeight="false" outlineLevel="0" collapsed="false">
      <c r="A23" s="5" t="n">
        <v>19</v>
      </c>
      <c r="B23" s="25" t="n">
        <f aca="false">INDEX(Curvas!$C$14:$C$112,MATCH(A23,Curvas!$A$14:$A$112,0))</f>
        <v>69.7</v>
      </c>
      <c r="C23" s="25" t="n">
        <f aca="false">INDEX(Curvas!$D$14:$D$112,MATCH(A23,Curvas!$A$14:$A$112,0))</f>
        <v>12.44</v>
      </c>
      <c r="D23" s="16" t="n">
        <f aca="false">INDEX(Curvas!$G$14:$G$112,MATCH(A23,Curvas!$A$14:$A$112,0))*Parâmetros!$B$6</f>
        <v>255.6</v>
      </c>
      <c r="E23" s="16" t="n">
        <f aca="false">INDEX(Curvas!$C$14:$C$112,MATCH(A23+Parâmetros!$B$17,Curvas!$A$14:$A$112,0))*Parâmetros!$C$17</f>
        <v>236.7</v>
      </c>
      <c r="F23" s="16" t="n">
        <f aca="false">INDEX(Curvas!$G$14:$G$112,MATCH(A23+Parâmetros!$B$17,Curvas!$A$14:$A$112,0))*Parâmetros!$B$6*Parâmetros!$D$17</f>
        <v>893.16</v>
      </c>
      <c r="G23" s="16" t="n">
        <f aca="false">INDEX(Curvas!$C$14:$C$112,MATCH(A23+Parâmetros!$B$19,Curvas!$A$14:$A$112,0))*Parâmetros!$C$19</f>
        <v>334.8</v>
      </c>
      <c r="H23" s="16" t="n">
        <f aca="false">INDEX(Curvas!$G$14:$G$112,MATCH(A23+Parâmetros!$B$19,Curvas!$A$14:$A$112,0))*Parâmetros!$B$6*Parâmetros!$D$19</f>
        <v>1603.8</v>
      </c>
      <c r="I23" s="16" t="n">
        <f aca="false">INDEX(Curvas!$C$14:$C$112,MATCH(A23+Parâmetros!$B$20,Curvas!$A$14:$A$112,0))*Parâmetros!$C$20</f>
        <v>167.4</v>
      </c>
      <c r="J23" s="16" t="n">
        <f aca="false">INDEX(Curvas!$G$14:$G$112,MATCH(A23+Parâmetros!$B$20,Curvas!$A$14:$A$112,0))*Parâmetros!$B$6*Parâmetros!$D$20</f>
        <v>1603.8</v>
      </c>
    </row>
    <row r="24" customFormat="false" ht="15" hidden="false" customHeight="false" outlineLevel="0" collapsed="false">
      <c r="A24" s="5" t="n">
        <v>20</v>
      </c>
      <c r="B24" s="25" t="n">
        <f aca="false">INDEX(Curvas!$C$14:$C$112,MATCH(A24,Curvas!$A$14:$A$112,0))</f>
        <v>74.2</v>
      </c>
      <c r="C24" s="25" t="n">
        <f aca="false">INDEX(Curvas!$D$14:$D$112,MATCH(A24,Curvas!$A$14:$A$112,0))</f>
        <v>12.97</v>
      </c>
      <c r="D24" s="16" t="n">
        <f aca="false">INDEX(Curvas!$G$14:$G$112,MATCH(A24,Curvas!$A$14:$A$112,0))*Parâmetros!$B$6</f>
        <v>276.03</v>
      </c>
      <c r="E24" s="16" t="n">
        <f aca="false">INDEX(Curvas!$C$14:$C$112,MATCH(A24+Parâmetros!$B$17,Curvas!$A$14:$A$112,0))*Parâmetros!$C$17</f>
        <v>251.1</v>
      </c>
      <c r="F24" s="16" t="n">
        <f aca="false">INDEX(Curvas!$G$14:$G$112,MATCH(A24+Parâmetros!$B$17,Curvas!$A$14:$A$112,0))*Parâmetros!$B$6*Parâmetros!$D$17</f>
        <v>962.28</v>
      </c>
      <c r="G24" s="16" t="n">
        <f aca="false">INDEX(Curvas!$C$14:$C$112,MATCH(A24+Parâmetros!$B$19,Curvas!$A$14:$A$112,0))*Parâmetros!$C$19</f>
        <v>354.8</v>
      </c>
      <c r="H24" s="16" t="n">
        <f aca="false">INDEX(Curvas!$G$14:$G$112,MATCH(A24+Parâmetros!$B$19,Curvas!$A$14:$A$112,0))*Parâmetros!$B$6*Parâmetros!$D$19</f>
        <v>1726.2</v>
      </c>
      <c r="I24" s="16" t="n">
        <f aca="false">INDEX(Curvas!$C$14:$C$112,MATCH(A24+Parâmetros!$B$20,Curvas!$A$14:$A$112,0))*Parâmetros!$C$20</f>
        <v>177.4</v>
      </c>
      <c r="J24" s="16" t="n">
        <f aca="false">INDEX(Curvas!$G$14:$G$112,MATCH(A24+Parâmetros!$B$20,Curvas!$A$14:$A$112,0))*Parâmetros!$B$6*Parâmetros!$D$20</f>
        <v>1726.2</v>
      </c>
    </row>
    <row r="25" customFormat="false" ht="15" hidden="false" customHeight="false" outlineLevel="0" collapsed="false">
      <c r="A25" s="5" t="n">
        <v>21</v>
      </c>
      <c r="B25" s="25" t="n">
        <f aca="false">INDEX(Curvas!$C$14:$C$112,MATCH(A25,Curvas!$A$14:$A$112,0))</f>
        <v>78.9</v>
      </c>
      <c r="C25" s="25" t="n">
        <f aca="false">INDEX(Curvas!$D$14:$D$112,MATCH(A25,Curvas!$A$14:$A$112,0))</f>
        <v>13.52</v>
      </c>
      <c r="D25" s="16" t="n">
        <f aca="false">INDEX(Curvas!$G$14:$G$112,MATCH(A25,Curvas!$A$14:$A$112,0))*Parâmetros!$B$6</f>
        <v>297.72</v>
      </c>
      <c r="E25" s="16" t="n">
        <f aca="false">INDEX(Curvas!$C$14:$C$112,MATCH(A25+Parâmetros!$B$17,Curvas!$A$14:$A$112,0))*Parâmetros!$C$17</f>
        <v>266.1</v>
      </c>
      <c r="F25" s="16" t="n">
        <f aca="false">INDEX(Curvas!$G$14:$G$112,MATCH(A25+Parâmetros!$B$17,Curvas!$A$14:$A$112,0))*Parâmetros!$B$6*Parâmetros!$D$17</f>
        <v>1035.72</v>
      </c>
      <c r="G25" s="16" t="n">
        <f aca="false">INDEX(Curvas!$C$14:$C$112,MATCH(A25+Parâmetros!$B$19,Curvas!$A$14:$A$112,0))*Parâmetros!$C$19</f>
        <v>375.2</v>
      </c>
      <c r="H25" s="16" t="n">
        <f aca="false">INDEX(Curvas!$G$14:$G$112,MATCH(A25+Parâmetros!$B$19,Curvas!$A$14:$A$112,0))*Parâmetros!$B$6*Parâmetros!$D$19</f>
        <v>1855.8</v>
      </c>
      <c r="I25" s="16" t="n">
        <f aca="false">INDEX(Curvas!$C$14:$C$112,MATCH(A25+Parâmetros!$B$20,Curvas!$A$14:$A$112,0))*Parâmetros!$C$20</f>
        <v>187.6</v>
      </c>
      <c r="J25" s="16" t="n">
        <f aca="false">INDEX(Curvas!$G$14:$G$112,MATCH(A25+Parâmetros!$B$20,Curvas!$A$14:$A$112,0))*Parâmetros!$B$6*Parâmetros!$D$20</f>
        <v>1855.8</v>
      </c>
    </row>
    <row r="26" customFormat="false" ht="15" hidden="false" customHeight="false" outlineLevel="0" collapsed="false">
      <c r="A26" s="5" t="n">
        <v>22</v>
      </c>
      <c r="B26" s="25" t="n">
        <f aca="false">INDEX(Curvas!$C$14:$C$112,MATCH(A26,Curvas!$A$14:$A$112,0))</f>
        <v>83.7</v>
      </c>
      <c r="C26" s="25" t="n">
        <f aca="false">INDEX(Curvas!$D$14:$D$112,MATCH(A26,Curvas!$A$14:$A$112,0))</f>
        <v>14.06</v>
      </c>
      <c r="D26" s="16" t="n">
        <f aca="false">INDEX(Curvas!$G$14:$G$112,MATCH(A26,Curvas!$A$14:$A$112,0))*Parâmetros!$B$6</f>
        <v>320.76</v>
      </c>
      <c r="E26" s="16" t="n">
        <f aca="false">INDEX(Curvas!$C$14:$C$112,MATCH(A26+Parâmetros!$B$17,Curvas!$A$14:$A$112,0))*Parâmetros!$C$17</f>
        <v>281.4</v>
      </c>
      <c r="F26" s="16" t="n">
        <f aca="false">INDEX(Curvas!$G$14:$G$112,MATCH(A26+Parâmetros!$B$17,Curvas!$A$14:$A$112,0))*Parâmetros!$B$6*Parâmetros!$D$17</f>
        <v>1113.48</v>
      </c>
      <c r="G26" s="16" t="n">
        <f aca="false">INDEX(Curvas!$C$14:$C$112,MATCH(A26+Parâmetros!$B$19,Curvas!$A$14:$A$112,0))*Parâmetros!$C$19</f>
        <v>396.4</v>
      </c>
      <c r="H26" s="16" t="n">
        <f aca="false">INDEX(Curvas!$G$14:$G$112,MATCH(A26+Parâmetros!$B$19,Curvas!$A$14:$A$112,0))*Parâmetros!$B$6*Parâmetros!$D$19</f>
        <v>1993.95</v>
      </c>
      <c r="I26" s="16" t="n">
        <f aca="false">INDEX(Curvas!$C$14:$C$112,MATCH(A26+Parâmetros!$B$20,Curvas!$A$14:$A$112,0))*Parâmetros!$C$20</f>
        <v>198.2</v>
      </c>
      <c r="J26" s="16" t="n">
        <f aca="false">INDEX(Curvas!$G$14:$G$112,MATCH(A26+Parâmetros!$B$20,Curvas!$A$14:$A$112,0))*Parâmetros!$B$6*Parâmetros!$D$20</f>
        <v>1993.95</v>
      </c>
    </row>
    <row r="27" customFormat="false" ht="15" hidden="false" customHeight="false" outlineLevel="0" collapsed="false">
      <c r="A27" s="5" t="n">
        <v>23</v>
      </c>
      <c r="B27" s="25" t="n">
        <f aca="false">INDEX(Curvas!$C$14:$C$112,MATCH(A27,Curvas!$A$14:$A$112,0))</f>
        <v>88.7</v>
      </c>
      <c r="C27" s="25" t="n">
        <f aca="false">INDEX(Curvas!$D$14:$D$112,MATCH(A27,Curvas!$A$14:$A$112,0))</f>
        <v>14.61</v>
      </c>
      <c r="D27" s="16" t="n">
        <f aca="false">INDEX(Curvas!$G$14:$G$112,MATCH(A27,Curvas!$A$14:$A$112,0))*Parâmetros!$B$6</f>
        <v>345.24</v>
      </c>
      <c r="E27" s="16" t="n">
        <f aca="false">INDEX(Curvas!$C$14:$C$112,MATCH(A27+Parâmetros!$B$17,Curvas!$A$14:$A$112,0))*Parâmetros!$C$17</f>
        <v>297.3</v>
      </c>
      <c r="F27" s="16" t="n">
        <f aca="false">INDEX(Curvas!$G$14:$G$112,MATCH(A27+Parâmetros!$B$17,Curvas!$A$14:$A$112,0))*Parâmetros!$B$6*Parâmetros!$D$17</f>
        <v>1196.37</v>
      </c>
      <c r="G27" s="16" t="n">
        <f aca="false">INDEX(Curvas!$C$14:$C$112,MATCH(A27+Parâmetros!$B$19,Curvas!$A$14:$A$112,0))*Parâmetros!$C$19</f>
        <v>418.4</v>
      </c>
      <c r="H27" s="16" t="n">
        <f aca="false">INDEX(Curvas!$G$14:$G$112,MATCH(A27+Parâmetros!$B$19,Curvas!$A$14:$A$112,0))*Parâmetros!$B$6*Parâmetros!$D$19</f>
        <v>2140.2</v>
      </c>
      <c r="I27" s="16" t="n">
        <f aca="false">INDEX(Curvas!$C$14:$C$112,MATCH(A27+Parâmetros!$B$20,Curvas!$A$14:$A$112,0))*Parâmetros!$C$20</f>
        <v>209.2</v>
      </c>
      <c r="J27" s="16" t="n">
        <f aca="false">INDEX(Curvas!$G$14:$G$112,MATCH(A27+Parâmetros!$B$20,Curvas!$A$14:$A$112,0))*Parâmetros!$B$6*Parâmetros!$D$20</f>
        <v>2140.2</v>
      </c>
    </row>
    <row r="28" customFormat="false" ht="15" hidden="false" customHeight="false" outlineLevel="0" collapsed="false">
      <c r="A28" s="5" t="n">
        <v>24</v>
      </c>
      <c r="B28" s="25" t="n">
        <f aca="false">INDEX(Curvas!$C$14:$C$112,MATCH(A28,Curvas!$A$14:$A$112,0))</f>
        <v>93.8</v>
      </c>
      <c r="C28" s="25" t="n">
        <f aca="false">INDEX(Curvas!$D$14:$D$112,MATCH(A28,Curvas!$A$14:$A$112,0))</f>
        <v>15.16</v>
      </c>
      <c r="D28" s="16" t="n">
        <f aca="false">INDEX(Curvas!$G$14:$G$112,MATCH(A28,Curvas!$A$14:$A$112,0))*Parâmetros!$B$6</f>
        <v>371.16</v>
      </c>
      <c r="E28" s="16" t="n">
        <f aca="false">INDEX(Curvas!$C$14:$C$112,MATCH(A28+Parâmetros!$B$17,Curvas!$A$14:$A$112,0))*Parâmetros!$C$17</f>
        <v>313.8</v>
      </c>
      <c r="F28" s="16" t="n">
        <f aca="false">INDEX(Curvas!$G$14:$G$112,MATCH(A28+Parâmetros!$B$17,Curvas!$A$14:$A$112,0))*Parâmetros!$B$6*Parâmetros!$D$17</f>
        <v>1284.12</v>
      </c>
      <c r="G28" s="16" t="n">
        <f aca="false">INDEX(Curvas!$C$14:$C$112,MATCH(A28+Parâmetros!$B$19,Curvas!$A$14:$A$112,0))*Parâmetros!$C$19</f>
        <v>441.2</v>
      </c>
      <c r="H28" s="16" t="n">
        <f aca="false">INDEX(Curvas!$G$14:$G$112,MATCH(A28+Parâmetros!$B$19,Curvas!$A$14:$A$112,0))*Parâmetros!$B$6*Parâmetros!$D$19</f>
        <v>2295.45</v>
      </c>
      <c r="I28" s="16" t="n">
        <f aca="false">INDEX(Curvas!$C$14:$C$112,MATCH(A28+Parâmetros!$B$20,Curvas!$A$14:$A$112,0))*Parâmetros!$C$20</f>
        <v>220.6</v>
      </c>
      <c r="J28" s="16" t="n">
        <f aca="false">INDEX(Curvas!$G$14:$G$112,MATCH(A28+Parâmetros!$B$20,Curvas!$A$14:$A$112,0))*Parâmetros!$B$6*Parâmetros!$D$20</f>
        <v>2295.45</v>
      </c>
    </row>
    <row r="29" customFormat="false" ht="15" hidden="false" customHeight="false" outlineLevel="0" collapsed="false">
      <c r="A29" s="5" t="n">
        <v>25</v>
      </c>
      <c r="B29" s="25" t="n">
        <f aca="false">INDEX(Curvas!$C$14:$C$112,MATCH(A29,Curvas!$A$14:$A$112,0))</f>
        <v>99.1</v>
      </c>
      <c r="C29" s="25" t="n">
        <f aca="false">INDEX(Curvas!$D$14:$D$112,MATCH(A29,Curvas!$A$14:$A$112,0))</f>
        <v>15.72</v>
      </c>
      <c r="D29" s="16" t="n">
        <f aca="false">INDEX(Curvas!$G$14:$G$112,MATCH(A29,Curvas!$A$14:$A$112,0))*Parâmetros!$B$6</f>
        <v>398.79</v>
      </c>
      <c r="E29" s="16" t="n">
        <f aca="false">INDEX(Curvas!$C$14:$C$112,MATCH(A29+Parâmetros!$B$17,Curvas!$A$14:$A$112,0))*Parâmetros!$C$17</f>
        <v>330.9</v>
      </c>
      <c r="F29" s="16" t="n">
        <f aca="false">INDEX(Curvas!$G$14:$G$112,MATCH(A29+Parâmetros!$B$17,Curvas!$A$14:$A$112,0))*Parâmetros!$B$6*Parâmetros!$D$17</f>
        <v>1377.27</v>
      </c>
      <c r="G29" s="16" t="n">
        <f aca="false">INDEX(Curvas!$C$14:$C$112,MATCH(A29+Parâmetros!$B$19,Curvas!$A$14:$A$112,0))*Parâmetros!$C$19</f>
        <v>464.8</v>
      </c>
      <c r="H29" s="16" t="n">
        <f aca="false">INDEX(Curvas!$G$14:$G$112,MATCH(A29+Parâmetros!$B$19,Curvas!$A$14:$A$112,0))*Parâmetros!$B$6*Parâmetros!$D$19</f>
        <v>2460.15</v>
      </c>
      <c r="I29" s="16" t="n">
        <f aca="false">INDEX(Curvas!$C$14:$C$112,MATCH(A29+Parâmetros!$B$20,Curvas!$A$14:$A$112,0))*Parâmetros!$C$20</f>
        <v>232.4</v>
      </c>
      <c r="J29" s="16" t="n">
        <f aca="false">INDEX(Curvas!$G$14:$G$112,MATCH(A29+Parâmetros!$B$20,Curvas!$A$14:$A$112,0))*Parâmetros!$B$6*Parâmetros!$D$20</f>
        <v>2460.15</v>
      </c>
    </row>
    <row r="30" customFormat="false" ht="15" hidden="false" customHeight="false" outlineLevel="0" collapsed="false">
      <c r="A30" s="5" t="n">
        <v>26</v>
      </c>
      <c r="B30" s="25" t="n">
        <f aca="false">INDEX(Curvas!$C$14:$C$112,MATCH(A30,Curvas!$A$14:$A$112,0))</f>
        <v>104.6</v>
      </c>
      <c r="C30" s="25" t="n">
        <f aca="false">INDEX(Curvas!$D$14:$D$112,MATCH(A30,Curvas!$A$14:$A$112,0))</f>
        <v>16.28</v>
      </c>
      <c r="D30" s="16" t="n">
        <f aca="false">INDEX(Curvas!$G$14:$G$112,MATCH(A30,Curvas!$A$14:$A$112,0))*Parâmetros!$B$6</f>
        <v>428.04</v>
      </c>
      <c r="E30" s="16" t="n">
        <f aca="false">INDEX(Curvas!$C$14:$C$112,MATCH(A30+Parâmetros!$B$17,Curvas!$A$14:$A$112,0))*Parâmetros!$C$17</f>
        <v>348.6</v>
      </c>
      <c r="F30" s="16" t="n">
        <f aca="false">INDEX(Curvas!$G$14:$G$112,MATCH(A30+Parâmetros!$B$17,Curvas!$A$14:$A$112,0))*Parâmetros!$B$6*Parâmetros!$D$17</f>
        <v>1476.09</v>
      </c>
      <c r="G30" s="16" t="n">
        <f aca="false">INDEX(Curvas!$C$14:$C$112,MATCH(A30+Parâmetros!$B$19,Curvas!$A$14:$A$112,0))*Parâmetros!$C$19</f>
        <v>489.2</v>
      </c>
      <c r="H30" s="16" t="n">
        <f aca="false">INDEX(Curvas!$G$14:$G$112,MATCH(A30+Parâmetros!$B$19,Curvas!$A$14:$A$112,0))*Parâmetros!$B$6*Parâmetros!$D$19</f>
        <v>2635.2</v>
      </c>
      <c r="I30" s="16" t="n">
        <f aca="false">INDEX(Curvas!$C$14:$C$112,MATCH(A30+Parâmetros!$B$20,Curvas!$A$14:$A$112,0))*Parâmetros!$C$20</f>
        <v>244.6</v>
      </c>
      <c r="J30" s="16" t="n">
        <f aca="false">INDEX(Curvas!$G$14:$G$112,MATCH(A30+Parâmetros!$B$20,Curvas!$A$14:$A$112,0))*Parâmetros!$B$6*Parâmetros!$D$20</f>
        <v>2635.2</v>
      </c>
    </row>
    <row r="31" customFormat="false" ht="15" hidden="false" customHeight="false" outlineLevel="0" collapsed="false">
      <c r="A31" s="5" t="n">
        <v>27</v>
      </c>
      <c r="B31" s="25" t="n">
        <f aca="false">INDEX(Curvas!$C$14:$C$112,MATCH(A31,Curvas!$A$14:$A$112,0))</f>
        <v>110.3</v>
      </c>
      <c r="C31" s="25" t="n">
        <f aca="false">INDEX(Curvas!$D$14:$D$112,MATCH(A31,Curvas!$A$14:$A$112,0))</f>
        <v>16.84</v>
      </c>
      <c r="D31" s="16" t="n">
        <f aca="false">INDEX(Curvas!$G$14:$G$112,MATCH(A31,Curvas!$A$14:$A$112,0))*Parâmetros!$B$6</f>
        <v>459.09</v>
      </c>
      <c r="E31" s="16" t="n">
        <f aca="false">INDEX(Curvas!$C$14:$C$112,MATCH(A31+Parâmetros!$B$17,Curvas!$A$14:$A$112,0))*Parâmetros!$C$17</f>
        <v>366.9</v>
      </c>
      <c r="F31" s="16" t="n">
        <f aca="false">INDEX(Curvas!$G$14:$G$112,MATCH(A31+Parâmetros!$B$17,Curvas!$A$14:$A$112,0))*Parâmetros!$B$6*Parâmetros!$D$17</f>
        <v>1581.12</v>
      </c>
      <c r="G31" s="16" t="n">
        <f aca="false">INDEX(Curvas!$C$14:$C$112,MATCH(A31+Parâmetros!$B$19,Curvas!$A$14:$A$112,0))*Parâmetros!$C$19</f>
        <v>514.8</v>
      </c>
      <c r="H31" s="16" t="n">
        <f aca="false">INDEX(Curvas!$G$14:$G$112,MATCH(A31+Parâmetros!$B$19,Curvas!$A$14:$A$112,0))*Parâmetros!$B$6*Parâmetros!$D$19</f>
        <v>2821.05</v>
      </c>
      <c r="I31" s="16" t="n">
        <f aca="false">INDEX(Curvas!$C$14:$C$112,MATCH(A31+Parâmetros!$B$20,Curvas!$A$14:$A$112,0))*Parâmetros!$C$20</f>
        <v>257.4</v>
      </c>
      <c r="J31" s="16" t="n">
        <f aca="false">INDEX(Curvas!$G$14:$G$112,MATCH(A31+Parâmetros!$B$20,Curvas!$A$14:$A$112,0))*Parâmetros!$B$6*Parâmetros!$D$20</f>
        <v>2821.05</v>
      </c>
    </row>
    <row r="32" customFormat="false" ht="15" hidden="false" customHeight="false" outlineLevel="0" collapsed="false">
      <c r="A32" s="5" t="n">
        <v>28</v>
      </c>
      <c r="B32" s="25" t="n">
        <f aca="false">INDEX(Curvas!$C$14:$C$112,MATCH(A32,Curvas!$A$14:$A$112,0))</f>
        <v>116.2</v>
      </c>
      <c r="C32" s="25" t="n">
        <f aca="false">INDEX(Curvas!$D$14:$D$112,MATCH(A32,Curvas!$A$14:$A$112,0))</f>
        <v>17.41</v>
      </c>
      <c r="D32" s="16" t="n">
        <f aca="false">INDEX(Curvas!$G$14:$G$112,MATCH(A32,Curvas!$A$14:$A$112,0))*Parâmetros!$B$6</f>
        <v>492.03</v>
      </c>
      <c r="E32" s="16" t="n">
        <f aca="false">INDEX(Curvas!$C$14:$C$112,MATCH(A32+Parâmetros!$B$17,Curvas!$A$14:$A$112,0))*Parâmetros!$C$17</f>
        <v>386.1</v>
      </c>
      <c r="F32" s="16" t="n">
        <f aca="false">INDEX(Curvas!$G$14:$G$112,MATCH(A32+Parâmetros!$B$17,Curvas!$A$14:$A$112,0))*Parâmetros!$B$6*Parâmetros!$D$17</f>
        <v>1692.63</v>
      </c>
      <c r="G32" s="16" t="n">
        <f aca="false">INDEX(Curvas!$C$14:$C$112,MATCH(A32+Parâmetros!$B$19,Curvas!$A$14:$A$112,0))*Parâmetros!$C$19</f>
        <v>540.8</v>
      </c>
      <c r="H32" s="16" t="n">
        <f aca="false">INDEX(Curvas!$G$14:$G$112,MATCH(A32+Parâmetros!$B$19,Curvas!$A$14:$A$112,0))*Parâmetros!$B$6*Parâmetros!$D$19</f>
        <v>3018.6</v>
      </c>
      <c r="I32" s="16" t="n">
        <f aca="false">INDEX(Curvas!$C$14:$C$112,MATCH(A32+Parâmetros!$B$20,Curvas!$A$14:$A$112,0))*Parâmetros!$C$20</f>
        <v>270.4</v>
      </c>
      <c r="J32" s="16" t="n">
        <f aca="false">INDEX(Curvas!$G$14:$G$112,MATCH(A32+Parâmetros!$B$20,Curvas!$A$14:$A$112,0))*Parâmetros!$B$6*Parâmetros!$D$20</f>
        <v>3018.6</v>
      </c>
    </row>
    <row r="33" customFormat="false" ht="15" hidden="false" customHeight="false" outlineLevel="0" collapsed="false">
      <c r="A33" s="5" t="n">
        <v>29</v>
      </c>
      <c r="B33" s="25" t="n">
        <f aca="false">INDEX(Curvas!$C$14:$C$112,MATCH(A33,Curvas!$A$14:$A$112,0))</f>
        <v>122.3</v>
      </c>
      <c r="C33" s="25" t="n">
        <f aca="false">INDEX(Curvas!$D$14:$D$112,MATCH(A33,Curvas!$A$14:$A$112,0))</f>
        <v>17.99</v>
      </c>
      <c r="D33" s="16" t="n">
        <f aca="false">INDEX(Curvas!$G$14:$G$112,MATCH(A33,Curvas!$A$14:$A$112,0))*Parâmetros!$B$6</f>
        <v>527.04</v>
      </c>
      <c r="E33" s="16" t="n">
        <f aca="false">INDEX(Curvas!$C$14:$C$112,MATCH(A33+Parâmetros!$B$17,Curvas!$A$14:$A$112,0))*Parâmetros!$C$17</f>
        <v>405.6</v>
      </c>
      <c r="F33" s="16" t="n">
        <f aca="false">INDEX(Curvas!$G$14:$G$112,MATCH(A33+Parâmetros!$B$17,Curvas!$A$14:$A$112,0))*Parâmetros!$B$6*Parâmetros!$D$17</f>
        <v>1811.16</v>
      </c>
      <c r="G33" s="16" t="n">
        <f aca="false">INDEX(Curvas!$C$14:$C$112,MATCH(A33+Parâmetros!$B$19,Curvas!$A$14:$A$112,0))*Parâmetros!$C$19</f>
        <v>568</v>
      </c>
      <c r="H33" s="16" t="n">
        <f aca="false">INDEX(Curvas!$G$14:$G$112,MATCH(A33+Parâmetros!$B$19,Curvas!$A$14:$A$112,0))*Parâmetros!$B$6*Parâmetros!$D$19</f>
        <v>3227.85</v>
      </c>
      <c r="I33" s="16" t="n">
        <f aca="false">INDEX(Curvas!$C$14:$C$112,MATCH(A33+Parâmetros!$B$20,Curvas!$A$14:$A$112,0))*Parâmetros!$C$20</f>
        <v>284</v>
      </c>
      <c r="J33" s="16" t="n">
        <f aca="false">INDEX(Curvas!$G$14:$G$112,MATCH(A33+Parâmetros!$B$20,Curvas!$A$14:$A$112,0))*Parâmetros!$B$6*Parâmetros!$D$20</f>
        <v>3227.85</v>
      </c>
    </row>
    <row r="34" customFormat="false" ht="15" hidden="false" customHeight="false" outlineLevel="0" collapsed="false">
      <c r="A34" s="5" t="n">
        <v>30</v>
      </c>
      <c r="B34" s="25" t="n">
        <f aca="false">INDEX(Curvas!$C$14:$C$112,MATCH(A34,Curvas!$A$14:$A$112,0))</f>
        <v>128.7</v>
      </c>
      <c r="C34" s="25" t="n">
        <f aca="false">INDEX(Curvas!$D$14:$D$112,MATCH(A34,Curvas!$A$14:$A$112,0))</f>
        <v>18.57</v>
      </c>
      <c r="D34" s="16" t="n">
        <f aca="false">INDEX(Curvas!$G$14:$G$112,MATCH(A34,Curvas!$A$14:$A$112,0))*Parâmetros!$B$6</f>
        <v>564.21</v>
      </c>
      <c r="E34" s="16" t="n">
        <f aca="false">INDEX(Curvas!$C$14:$C$112,MATCH(A34+Parâmetros!$B$17,Curvas!$A$14:$A$112,0))*Parâmetros!$C$17</f>
        <v>426</v>
      </c>
      <c r="F34" s="16" t="n">
        <f aca="false">INDEX(Curvas!$G$14:$G$112,MATCH(A34+Parâmetros!$B$17,Curvas!$A$14:$A$112,0))*Parâmetros!$B$6*Parâmetros!$D$17</f>
        <v>1936.71</v>
      </c>
      <c r="G34" s="16" t="n">
        <f aca="false">INDEX(Curvas!$C$14:$C$112,MATCH(A34+Parâmetros!$B$19,Curvas!$A$14:$A$112,0))*Parâmetros!$C$19</f>
        <v>596</v>
      </c>
      <c r="H34" s="16" t="n">
        <f aca="false">INDEX(Curvas!$G$14:$G$112,MATCH(A34+Parâmetros!$B$19,Curvas!$A$14:$A$112,0))*Parâmetros!$B$6*Parâmetros!$D$19</f>
        <v>3449.7</v>
      </c>
      <c r="I34" s="16" t="n">
        <f aca="false">INDEX(Curvas!$C$14:$C$112,MATCH(A34+Parâmetros!$B$20,Curvas!$A$14:$A$112,0))*Parâmetros!$C$20</f>
        <v>298</v>
      </c>
      <c r="J34" s="16" t="n">
        <f aca="false">INDEX(Curvas!$G$14:$G$112,MATCH(A34+Parâmetros!$B$20,Curvas!$A$14:$A$112,0))*Parâmetros!$B$6*Parâmetros!$D$20</f>
        <v>3449.7</v>
      </c>
    </row>
    <row r="35" customFormat="false" ht="15" hidden="false" customHeight="false" outlineLevel="0" collapsed="false">
      <c r="A35" s="5" t="n">
        <v>31</v>
      </c>
      <c r="B35" s="25" t="n">
        <f aca="false">INDEX(Curvas!$C$14:$C$112,MATCH(A35,Curvas!$A$14:$A$112,0))</f>
        <v>135.2</v>
      </c>
      <c r="C35" s="25" t="n">
        <f aca="false">INDEX(Curvas!$D$14:$D$112,MATCH(A35,Curvas!$A$14:$A$112,0))</f>
        <v>19.16</v>
      </c>
      <c r="D35" s="16" t="n">
        <f aca="false">INDEX(Curvas!$G$14:$G$112,MATCH(A35,Curvas!$A$14:$A$112,0))*Parâmetros!$B$6</f>
        <v>603.72</v>
      </c>
      <c r="E35" s="16" t="n">
        <f aca="false">INDEX(Curvas!$C$14:$C$112,MATCH(A35+Parâmetros!$B$17,Curvas!$A$14:$A$112,0))*Parâmetros!$C$17</f>
        <v>447</v>
      </c>
      <c r="F35" s="16" t="n">
        <f aca="false">INDEX(Curvas!$G$14:$G$112,MATCH(A35+Parâmetros!$B$17,Curvas!$A$14:$A$112,0))*Parâmetros!$B$6*Parâmetros!$D$17</f>
        <v>2069.82</v>
      </c>
      <c r="G35" s="16" t="n">
        <f aca="false">INDEX(Curvas!$C$14:$C$112,MATCH(A35+Parâmetros!$B$19,Curvas!$A$14:$A$112,0))*Parâmetros!$C$19</f>
        <v>624.8</v>
      </c>
      <c r="H35" s="16" t="n">
        <f aca="false">INDEX(Curvas!$G$14:$G$112,MATCH(A35+Parâmetros!$B$19,Curvas!$A$14:$A$112,0))*Parâmetros!$B$6*Parâmetros!$D$19</f>
        <v>3685.5</v>
      </c>
      <c r="I35" s="16" t="n">
        <f aca="false">INDEX(Curvas!$C$14:$C$112,MATCH(A35+Parâmetros!$B$20,Curvas!$A$14:$A$112,0))*Parâmetros!$C$20</f>
        <v>312.4</v>
      </c>
      <c r="J35" s="16" t="n">
        <f aca="false">INDEX(Curvas!$G$14:$G$112,MATCH(A35+Parâmetros!$B$20,Curvas!$A$14:$A$112,0))*Parâmetros!$B$6*Parâmetros!$D$20</f>
        <v>3685.5</v>
      </c>
    </row>
    <row r="36" customFormat="false" ht="15" hidden="false" customHeight="false" outlineLevel="0" collapsed="false">
      <c r="A36" s="5" t="n">
        <v>32</v>
      </c>
      <c r="B36" s="25" t="n">
        <f aca="false">INDEX(Curvas!$C$14:$C$112,MATCH(A36,Curvas!$A$14:$A$112,0))</f>
        <v>142</v>
      </c>
      <c r="C36" s="25" t="n">
        <f aca="false">INDEX(Curvas!$D$14:$D$112,MATCH(A36,Curvas!$A$14:$A$112,0))</f>
        <v>19.75</v>
      </c>
      <c r="D36" s="16" t="n">
        <f aca="false">INDEX(Curvas!$G$14:$G$112,MATCH(A36,Curvas!$A$14:$A$112,0))*Parâmetros!$B$6</f>
        <v>645.57</v>
      </c>
      <c r="E36" s="16" t="n">
        <f aca="false">INDEX(Curvas!$C$14:$C$112,MATCH(A36+Parâmetros!$B$17,Curvas!$A$14:$A$112,0))*Parâmetros!$C$17</f>
        <v>468.6</v>
      </c>
      <c r="F36" s="16" t="n">
        <f aca="false">INDEX(Curvas!$G$14:$G$112,MATCH(A36+Parâmetros!$B$17,Curvas!$A$14:$A$112,0))*Parâmetros!$B$6*Parâmetros!$D$17</f>
        <v>2211.3</v>
      </c>
      <c r="G36" s="16" t="n">
        <f aca="false">INDEX(Curvas!$C$14:$C$112,MATCH(A36+Parâmetros!$B$19,Curvas!$A$14:$A$112,0))*Parâmetros!$C$19</f>
        <v>654.8</v>
      </c>
      <c r="H36" s="16" t="n">
        <f aca="false">INDEX(Curvas!$G$14:$G$112,MATCH(A36+Parâmetros!$B$19,Curvas!$A$14:$A$112,0))*Parâmetros!$B$6*Parâmetros!$D$19</f>
        <v>3935.7</v>
      </c>
      <c r="I36" s="16" t="n">
        <f aca="false">INDEX(Curvas!$C$14:$C$112,MATCH(A36+Parâmetros!$B$20,Curvas!$A$14:$A$112,0))*Parâmetros!$C$20</f>
        <v>327.4</v>
      </c>
      <c r="J36" s="16" t="n">
        <f aca="false">INDEX(Curvas!$G$14:$G$112,MATCH(A36+Parâmetros!$B$20,Curvas!$A$14:$A$112,0))*Parâmetros!$B$6*Parâmetros!$D$20</f>
        <v>3935.7</v>
      </c>
    </row>
    <row r="37" customFormat="false" ht="15" hidden="false" customHeight="false" outlineLevel="0" collapsed="false">
      <c r="A37" s="5" t="n">
        <v>33</v>
      </c>
      <c r="B37" s="25" t="n">
        <f aca="false">INDEX(Curvas!$C$14:$C$112,MATCH(A37,Curvas!$A$14:$A$112,0))</f>
        <v>149</v>
      </c>
      <c r="C37" s="25" t="n">
        <f aca="false">INDEX(Curvas!$D$14:$D$112,MATCH(A37,Curvas!$A$14:$A$112,0))</f>
        <v>20.35</v>
      </c>
      <c r="D37" s="16" t="n">
        <f aca="false">INDEX(Curvas!$G$14:$G$112,MATCH(A37,Curvas!$A$14:$A$112,0))*Parâmetros!$B$6</f>
        <v>689.94</v>
      </c>
      <c r="E37" s="16" t="n">
        <f aca="false">INDEX(Curvas!$C$14:$C$112,MATCH(A37+Parâmetros!$B$17,Curvas!$A$14:$A$112,0))*Parâmetros!$C$17</f>
        <v>491.1</v>
      </c>
      <c r="F37" s="16" t="n">
        <f aca="false">INDEX(Curvas!$G$14:$G$112,MATCH(A37+Parâmetros!$B$17,Curvas!$A$14:$A$112,0))*Parâmetros!$B$6*Parâmetros!$D$17</f>
        <v>2361.42</v>
      </c>
      <c r="G37" s="16" t="n">
        <f aca="false">INDEX(Curvas!$C$14:$C$112,MATCH(A37+Parâmetros!$B$19,Curvas!$A$14:$A$112,0))*Parâmetros!$C$19</f>
        <v>686</v>
      </c>
      <c r="H37" s="16" t="n">
        <f aca="false">INDEX(Curvas!$G$14:$G$112,MATCH(A37+Parâmetros!$B$19,Curvas!$A$14:$A$112,0))*Parâmetros!$B$6*Parâmetros!$D$19</f>
        <v>4200.75</v>
      </c>
      <c r="I37" s="16" t="n">
        <f aca="false">INDEX(Curvas!$C$14:$C$112,MATCH(A37+Parâmetros!$B$20,Curvas!$A$14:$A$112,0))*Parâmetros!$C$20</f>
        <v>343</v>
      </c>
      <c r="J37" s="16" t="n">
        <f aca="false">INDEX(Curvas!$G$14:$G$112,MATCH(A37+Parâmetros!$B$20,Curvas!$A$14:$A$112,0))*Parâmetros!$B$6*Parâmetros!$D$20</f>
        <v>4200.75</v>
      </c>
    </row>
    <row r="38" customFormat="false" ht="15" hidden="false" customHeight="false" outlineLevel="0" collapsed="false">
      <c r="A38" s="5" t="n">
        <v>34</v>
      </c>
      <c r="B38" s="25" t="n">
        <f aca="false">INDEX(Curvas!$C$14:$C$112,MATCH(A38,Curvas!$A$14:$A$112,0))</f>
        <v>156.2</v>
      </c>
      <c r="C38" s="25" t="n">
        <f aca="false">INDEX(Curvas!$D$14:$D$112,MATCH(A38,Curvas!$A$14:$A$112,0))</f>
        <v>20.96</v>
      </c>
      <c r="D38" s="16" t="n">
        <f aca="false">INDEX(Curvas!$G$14:$G$112,MATCH(A38,Curvas!$A$14:$A$112,0))*Parâmetros!$B$6</f>
        <v>737.1</v>
      </c>
      <c r="E38" s="16" t="n">
        <f aca="false">INDEX(Curvas!$C$14:$C$112,MATCH(A38+Parâmetros!$B$17,Curvas!$A$14:$A$112,0))*Parâmetros!$C$17</f>
        <v>514.5</v>
      </c>
      <c r="F38" s="16" t="n">
        <f aca="false">INDEX(Curvas!$G$14:$G$112,MATCH(A38+Parâmetros!$B$17,Curvas!$A$14:$A$112,0))*Parâmetros!$B$6*Parâmetros!$D$17</f>
        <v>2520.45</v>
      </c>
      <c r="G38" s="16" t="n">
        <f aca="false">INDEX(Curvas!$C$14:$C$112,MATCH(A38+Parâmetros!$B$19,Curvas!$A$14:$A$112,0))*Parâmetros!$C$19</f>
        <v>718.4</v>
      </c>
      <c r="H38" s="16" t="n">
        <f aca="false">INDEX(Curvas!$G$14:$G$112,MATCH(A38+Parâmetros!$B$19,Curvas!$A$14:$A$112,0))*Parâmetros!$B$6*Parâmetros!$D$19</f>
        <v>4482</v>
      </c>
      <c r="I38" s="16" t="n">
        <f aca="false">INDEX(Curvas!$C$14:$C$112,MATCH(A38+Parâmetros!$B$20,Curvas!$A$14:$A$112,0))*Parâmetros!$C$20</f>
        <v>359.2</v>
      </c>
      <c r="J38" s="16" t="n">
        <f aca="false">INDEX(Curvas!$G$14:$G$112,MATCH(A38+Parâmetros!$B$20,Curvas!$A$14:$A$112,0))*Parâmetros!$B$6*Parâmetros!$D$20</f>
        <v>4482</v>
      </c>
    </row>
    <row r="39" customFormat="false" ht="15" hidden="false" customHeight="false" outlineLevel="0" collapsed="false">
      <c r="A39" s="5" t="n">
        <v>35</v>
      </c>
      <c r="B39" s="25" t="n">
        <f aca="false">INDEX(Curvas!$C$14:$C$112,MATCH(A39,Curvas!$A$14:$A$112,0))</f>
        <v>163.7</v>
      </c>
      <c r="C39" s="25" t="n">
        <f aca="false">INDEX(Curvas!$D$14:$D$112,MATCH(A39,Curvas!$A$14:$A$112,0))</f>
        <v>21.57</v>
      </c>
      <c r="D39" s="16" t="n">
        <f aca="false">INDEX(Curvas!$G$14:$G$112,MATCH(A39,Curvas!$A$14:$A$112,0))*Parâmetros!$B$6</f>
        <v>787.14</v>
      </c>
      <c r="E39" s="16" t="n">
        <f aca="false">INDEX(Curvas!$C$14:$C$112,MATCH(A39+Parâmetros!$B$17,Curvas!$A$14:$A$112,0))*Parâmetros!$C$17</f>
        <v>538.8</v>
      </c>
      <c r="F39" s="16" t="n">
        <f aca="false">INDEX(Curvas!$G$14:$G$112,MATCH(A39+Parâmetros!$B$17,Curvas!$A$14:$A$112,0))*Parâmetros!$B$6*Parâmetros!$D$17</f>
        <v>2689.2</v>
      </c>
      <c r="G39" s="16" t="n">
        <f aca="false">INDEX(Curvas!$C$14:$C$112,MATCH(A39+Parâmetros!$B$19,Curvas!$A$14:$A$112,0))*Parâmetros!$C$19</f>
        <v>751.6</v>
      </c>
      <c r="H39" s="16" t="n">
        <f aca="false">INDEX(Curvas!$G$14:$G$112,MATCH(A39+Parâmetros!$B$19,Curvas!$A$14:$A$112,0))*Parâmetros!$B$6*Parâmetros!$D$19</f>
        <v>4780.8</v>
      </c>
      <c r="I39" s="16" t="n">
        <f aca="false">INDEX(Curvas!$C$14:$C$112,MATCH(A39+Parâmetros!$B$20,Curvas!$A$14:$A$112,0))*Parâmetros!$C$20</f>
        <v>375.8</v>
      </c>
      <c r="J39" s="16" t="n">
        <f aca="false">INDEX(Curvas!$G$14:$G$112,MATCH(A39+Parâmetros!$B$20,Curvas!$A$14:$A$112,0))*Parâmetros!$B$6*Parâmetros!$D$20</f>
        <v>4780.8</v>
      </c>
    </row>
    <row r="40" customFormat="false" ht="15" hidden="false" customHeight="false" outlineLevel="0" collapsed="false">
      <c r="A40" s="5" t="n">
        <v>36</v>
      </c>
      <c r="B40" s="25" t="n">
        <f aca="false">INDEX(Curvas!$C$14:$C$112,MATCH(A40,Curvas!$A$14:$A$112,0))</f>
        <v>171.5</v>
      </c>
      <c r="C40" s="25" t="n">
        <f aca="false">INDEX(Curvas!$D$14:$D$112,MATCH(A40,Curvas!$A$14:$A$112,0))</f>
        <v>22.19</v>
      </c>
      <c r="D40" s="16" t="n">
        <f aca="false">INDEX(Curvas!$G$14:$G$112,MATCH(A40,Curvas!$A$14:$A$112,0))*Parâmetros!$B$6</f>
        <v>840.15</v>
      </c>
      <c r="E40" s="16" t="n">
        <f aca="false">INDEX(Curvas!$C$14:$C$112,MATCH(A40+Parâmetros!$B$17,Curvas!$A$14:$A$112,0))*Parâmetros!$C$17</f>
        <v>563.7</v>
      </c>
      <c r="F40" s="16" t="n">
        <f aca="false">INDEX(Curvas!$G$14:$G$112,MATCH(A40+Parâmetros!$B$17,Curvas!$A$14:$A$112,0))*Parâmetros!$B$6*Parâmetros!$D$17</f>
        <v>2868.48</v>
      </c>
      <c r="G40" s="16" t="n">
        <f aca="false">INDEX(Curvas!$C$14:$C$112,MATCH(A40+Parâmetros!$B$19,Curvas!$A$14:$A$112,0))*Parâmetros!$C$19</f>
        <v>786</v>
      </c>
      <c r="H40" s="16" t="n">
        <f aca="false">INDEX(Curvas!$G$14:$G$112,MATCH(A40+Parâmetros!$B$19,Curvas!$A$14:$A$112,0))*Parâmetros!$B$6*Parâmetros!$D$19</f>
        <v>5097.15</v>
      </c>
      <c r="I40" s="16" t="n">
        <f aca="false">INDEX(Curvas!$C$14:$C$112,MATCH(A40+Parâmetros!$B$20,Curvas!$A$14:$A$112,0))*Parâmetros!$C$20</f>
        <v>393</v>
      </c>
      <c r="J40" s="16" t="n">
        <f aca="false">INDEX(Curvas!$G$14:$G$112,MATCH(A40+Parâmetros!$B$20,Curvas!$A$14:$A$112,0))*Parâmetros!$B$6*Parâmetros!$D$20</f>
        <v>5097.15</v>
      </c>
    </row>
    <row r="41" customFormat="false" ht="15" hidden="false" customHeight="false" outlineLevel="0" collapsed="false">
      <c r="A41" s="5" t="n">
        <v>37</v>
      </c>
      <c r="B41" s="25" t="n">
        <f aca="false">INDEX(Curvas!$C$14:$C$112,MATCH(A41,Curvas!$A$14:$A$112,0))</f>
        <v>179.6</v>
      </c>
      <c r="C41" s="25" t="n">
        <f aca="false">INDEX(Curvas!$D$14:$D$112,MATCH(A41,Curvas!$A$14:$A$112,0))</f>
        <v>22.82</v>
      </c>
      <c r="D41" s="16" t="n">
        <f aca="false">INDEX(Curvas!$G$14:$G$112,MATCH(A41,Curvas!$A$14:$A$112,0))*Parâmetros!$B$6</f>
        <v>896.4</v>
      </c>
      <c r="E41" s="16" t="n">
        <f aca="false">INDEX(Curvas!$C$14:$C$112,MATCH(A41+Parâmetros!$B$17,Curvas!$A$14:$A$112,0))*Parâmetros!$C$17</f>
        <v>589.5</v>
      </c>
      <c r="F41" s="16" t="n">
        <f aca="false">INDEX(Curvas!$G$14:$G$112,MATCH(A41+Parâmetros!$B$17,Curvas!$A$14:$A$112,0))*Parâmetros!$B$6*Parâmetros!$D$17</f>
        <v>3058.29</v>
      </c>
      <c r="G41" s="16" t="n">
        <f aca="false">INDEX(Curvas!$C$14:$C$112,MATCH(A41+Parâmetros!$B$19,Curvas!$A$14:$A$112,0))*Parâmetros!$C$19</f>
        <v>821.6</v>
      </c>
      <c r="H41" s="16" t="n">
        <f aca="false">INDEX(Curvas!$G$14:$G$112,MATCH(A41+Parâmetros!$B$19,Curvas!$A$14:$A$112,0))*Parâmetros!$B$6*Parâmetros!$D$19</f>
        <v>5432.85</v>
      </c>
      <c r="I41" s="16" t="n">
        <f aca="false">INDEX(Curvas!$C$14:$C$112,MATCH(A41+Parâmetros!$B$20,Curvas!$A$14:$A$112,0))*Parâmetros!$C$20</f>
        <v>410.8</v>
      </c>
      <c r="J41" s="16" t="n">
        <f aca="false">INDEX(Curvas!$G$14:$G$112,MATCH(A41+Parâmetros!$B$20,Curvas!$A$14:$A$112,0))*Parâmetros!$B$6*Parâmetros!$D$20</f>
        <v>5432.85</v>
      </c>
    </row>
    <row r="42" customFormat="false" ht="15" hidden="false" customHeight="false" outlineLevel="0" collapsed="false">
      <c r="A42" s="5" t="n">
        <v>38</v>
      </c>
      <c r="B42" s="25" t="n">
        <f aca="false">INDEX(Curvas!$C$14:$C$112,MATCH(A42,Curvas!$A$14:$A$112,0))</f>
        <v>187.9</v>
      </c>
      <c r="C42" s="25" t="n">
        <f aca="false">INDEX(Curvas!$D$14:$D$112,MATCH(A42,Curvas!$A$14:$A$112,0))</f>
        <v>23.45</v>
      </c>
      <c r="D42" s="16" t="n">
        <f aca="false">INDEX(Curvas!$G$14:$G$112,MATCH(A42,Curvas!$A$14:$A$112,0))*Parâmetros!$B$6</f>
        <v>956.16</v>
      </c>
      <c r="E42" s="16" t="n">
        <f aca="false">INDEX(Curvas!$C$14:$C$112,MATCH(A42+Parâmetros!$B$17,Curvas!$A$14:$A$112,0))*Parâmetros!$C$17</f>
        <v>616.2</v>
      </c>
      <c r="F42" s="16" t="n">
        <f aca="false">INDEX(Curvas!$G$14:$G$112,MATCH(A42+Parâmetros!$B$17,Curvas!$A$14:$A$112,0))*Parâmetros!$B$6*Parâmetros!$D$17</f>
        <v>3259.71</v>
      </c>
      <c r="G42" s="16" t="n">
        <f aca="false">INDEX(Curvas!$C$14:$C$112,MATCH(A42+Parâmetros!$B$19,Curvas!$A$14:$A$112,0))*Parâmetros!$C$19</f>
        <v>858.4</v>
      </c>
      <c r="H42" s="16" t="n">
        <f aca="false">INDEX(Curvas!$G$14:$G$112,MATCH(A42+Parâmetros!$B$19,Curvas!$A$14:$A$112,0))*Parâmetros!$B$6*Parâmetros!$D$19</f>
        <v>5789.25</v>
      </c>
      <c r="I42" s="16" t="n">
        <f aca="false">INDEX(Curvas!$C$14:$C$112,MATCH(A42+Parâmetros!$B$20,Curvas!$A$14:$A$112,0))*Parâmetros!$C$20</f>
        <v>429.2</v>
      </c>
      <c r="J42" s="16" t="n">
        <f aca="false">INDEX(Curvas!$G$14:$G$112,MATCH(A42+Parâmetros!$B$20,Curvas!$A$14:$A$112,0))*Parâmetros!$B$6*Parâmetros!$D$20</f>
        <v>5789.25</v>
      </c>
    </row>
    <row r="43" customFormat="false" ht="15" hidden="false" customHeight="false" outlineLevel="0" collapsed="false">
      <c r="A43" s="5" t="n">
        <v>39</v>
      </c>
      <c r="B43" s="25" t="n">
        <f aca="false">INDEX(Curvas!$C$14:$C$112,MATCH(A43,Curvas!$A$14:$A$112,0))</f>
        <v>196.5</v>
      </c>
      <c r="C43" s="25" t="n">
        <f aca="false">INDEX(Curvas!$D$14:$D$112,MATCH(A43,Curvas!$A$14:$A$112,0))</f>
        <v>24.09</v>
      </c>
      <c r="D43" s="16" t="n">
        <f aca="false">INDEX(Curvas!$G$14:$G$112,MATCH(A43,Curvas!$A$14:$A$112,0))*Parâmetros!$B$6</f>
        <v>1019.43</v>
      </c>
      <c r="E43" s="16" t="n">
        <f aca="false">INDEX(Curvas!$C$14:$C$112,MATCH(A43+Parâmetros!$B$17,Curvas!$A$14:$A$112,0))*Parâmetros!$C$17</f>
        <v>643.8</v>
      </c>
      <c r="F43" s="16" t="n">
        <f aca="false">INDEX(Curvas!$G$14:$G$112,MATCH(A43+Parâmetros!$B$17,Curvas!$A$14:$A$112,0))*Parâmetros!$B$6*Parâmetros!$D$17</f>
        <v>3473.55</v>
      </c>
      <c r="G43" s="16" t="n">
        <f aca="false">INDEX(Curvas!$C$14:$C$112,MATCH(A43+Parâmetros!$B$19,Curvas!$A$14:$A$112,0))*Parâmetros!$C$19</f>
        <v>896.8</v>
      </c>
      <c r="H43" s="16" t="n">
        <f aca="false">INDEX(Curvas!$G$14:$G$112,MATCH(A43+Parâmetros!$B$19,Curvas!$A$14:$A$112,0))*Parâmetros!$B$6*Parâmetros!$D$19</f>
        <v>6166.8</v>
      </c>
      <c r="I43" s="16" t="n">
        <f aca="false">INDEX(Curvas!$C$14:$C$112,MATCH(A43+Parâmetros!$B$20,Curvas!$A$14:$A$112,0))*Parâmetros!$C$20</f>
        <v>448.4</v>
      </c>
      <c r="J43" s="16" t="n">
        <f aca="false">INDEX(Curvas!$G$14:$G$112,MATCH(A43+Parâmetros!$B$20,Curvas!$A$14:$A$112,0))*Parâmetros!$B$6*Parâmetros!$D$20</f>
        <v>6166.8</v>
      </c>
    </row>
    <row r="44" customFormat="false" ht="15" hidden="false" customHeight="false" outlineLevel="0" collapsed="false">
      <c r="A44" s="5" t="n">
        <v>40</v>
      </c>
      <c r="B44" s="25" t="n">
        <f aca="false">INDEX(Curvas!$C$14:$C$112,MATCH(A44,Curvas!$A$14:$A$112,0))</f>
        <v>205.4</v>
      </c>
      <c r="C44" s="25" t="n">
        <f aca="false">INDEX(Curvas!$D$14:$D$112,MATCH(A44,Curvas!$A$14:$A$112,0))</f>
        <v>24.74</v>
      </c>
      <c r="D44" s="16" t="n">
        <f aca="false">INDEX(Curvas!$G$14:$G$112,MATCH(A44,Curvas!$A$14:$A$112,0))*Parâmetros!$B$6</f>
        <v>1086.57</v>
      </c>
      <c r="E44" s="16" t="n">
        <f aca="false">INDEX(Curvas!$C$14:$C$112,MATCH(A44+Parâmetros!$B$17,Curvas!$A$14:$A$112,0))*Parâmetros!$C$17</f>
        <v>672.6</v>
      </c>
      <c r="F44" s="16" t="n">
        <f aca="false">INDEX(Curvas!$G$14:$G$112,MATCH(A44+Parâmetros!$B$17,Curvas!$A$14:$A$112,0))*Parâmetros!$B$6*Parâmetros!$D$17</f>
        <v>3700.08</v>
      </c>
      <c r="G44" s="16" t="n">
        <f aca="false">INDEX(Curvas!$C$14:$C$112,MATCH(A44+Parâmetros!$B$19,Curvas!$A$14:$A$112,0))*Parâmetros!$C$19</f>
        <v>936.4</v>
      </c>
      <c r="H44" s="16" t="n">
        <f aca="false">INDEX(Curvas!$G$14:$G$112,MATCH(A44+Parâmetros!$B$19,Curvas!$A$14:$A$112,0))*Parâmetros!$B$6*Parâmetros!$D$19</f>
        <v>6566.85</v>
      </c>
      <c r="I44" s="16" t="n">
        <f aca="false">INDEX(Curvas!$C$14:$C$112,MATCH(A44+Parâmetros!$B$20,Curvas!$A$14:$A$112,0))*Parâmetros!$C$20</f>
        <v>468.2</v>
      </c>
      <c r="J44" s="16" t="n">
        <f aca="false">INDEX(Curvas!$G$14:$G$112,MATCH(A44+Parâmetros!$B$20,Curvas!$A$14:$A$112,0))*Parâmetros!$B$6*Parâmetros!$D$20</f>
        <v>6566.85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34"/>
  </cols>
  <sheetData>
    <row r="1" customFormat="false" ht="17.35" hidden="false" customHeight="false" outlineLevel="0" collapsed="false">
      <c r="A1" s="1" t="s">
        <v>145</v>
      </c>
    </row>
    <row r="2" customFormat="false" ht="15" hidden="false" customHeight="false" outlineLevel="0" collapsed="false">
      <c r="A2" s="3" t="s">
        <v>146</v>
      </c>
    </row>
    <row r="4" customFormat="false" ht="31.5" hidden="false" customHeight="true" outlineLevel="0" collapsed="false">
      <c r="A4" s="4" t="s">
        <v>147</v>
      </c>
      <c r="B4" s="4" t="s">
        <v>148</v>
      </c>
      <c r="C4" s="4" t="s">
        <v>149</v>
      </c>
    </row>
    <row r="5" customFormat="false" ht="15" hidden="false" customHeight="false" outlineLevel="0" collapsed="false">
      <c r="A5" s="26" t="n">
        <v>-10</v>
      </c>
      <c r="B5" s="8" t="n">
        <v>0.05</v>
      </c>
      <c r="C5" s="7" t="s">
        <v>150</v>
      </c>
    </row>
    <row r="6" customFormat="false" ht="15" hidden="false" customHeight="false" outlineLevel="0" collapsed="false">
      <c r="A6" s="26" t="n">
        <v>-9</v>
      </c>
      <c r="B6" s="8" t="n">
        <v>0.24</v>
      </c>
      <c r="C6" s="7" t="s">
        <v>151</v>
      </c>
    </row>
    <row r="7" customFormat="false" ht="15" hidden="false" customHeight="false" outlineLevel="0" collapsed="false">
      <c r="A7" s="26" t="n">
        <v>-8</v>
      </c>
      <c r="B7" s="8" t="n">
        <v>0.43</v>
      </c>
      <c r="C7" s="7" t="s">
        <v>151</v>
      </c>
    </row>
    <row r="8" customFormat="false" ht="15" hidden="false" customHeight="false" outlineLevel="0" collapsed="false">
      <c r="A8" s="26" t="n">
        <v>-7</v>
      </c>
      <c r="B8" s="8" t="n">
        <v>0.62</v>
      </c>
      <c r="C8" s="7" t="s">
        <v>151</v>
      </c>
    </row>
    <row r="9" customFormat="false" ht="15" hidden="false" customHeight="false" outlineLevel="0" collapsed="false">
      <c r="A9" s="26" t="n">
        <v>-6</v>
      </c>
      <c r="B9" s="8" t="n">
        <v>0.81</v>
      </c>
      <c r="C9" s="7" t="s">
        <v>151</v>
      </c>
    </row>
    <row r="10" customFormat="false" ht="15" hidden="false" customHeight="false" outlineLevel="0" collapsed="false">
      <c r="A10" s="26" t="n">
        <v>-5</v>
      </c>
      <c r="B10" s="8" t="n">
        <v>1</v>
      </c>
      <c r="C10" s="7" t="s">
        <v>152</v>
      </c>
    </row>
    <row r="11" customFormat="false" ht="15" hidden="false" customHeight="false" outlineLevel="0" collapsed="false">
      <c r="A11" s="26" t="n">
        <v>-4</v>
      </c>
      <c r="B11" s="8" t="n">
        <v>1</v>
      </c>
      <c r="C11" s="7" t="s">
        <v>152</v>
      </c>
    </row>
    <row r="12" customFormat="false" ht="15" hidden="false" customHeight="false" outlineLevel="0" collapsed="false">
      <c r="A12" s="26" t="n">
        <v>-3</v>
      </c>
      <c r="B12" s="8" t="n">
        <v>1</v>
      </c>
      <c r="C12" s="7" t="s">
        <v>152</v>
      </c>
    </row>
    <row r="13" customFormat="false" ht="15" hidden="false" customHeight="false" outlineLevel="0" collapsed="false">
      <c r="A13" s="26" t="n">
        <v>-2</v>
      </c>
      <c r="B13" s="8" t="n">
        <v>1</v>
      </c>
      <c r="C13" s="7" t="s">
        <v>152</v>
      </c>
    </row>
    <row r="14" customFormat="false" ht="15" hidden="false" customHeight="false" outlineLevel="0" collapsed="false">
      <c r="A14" s="26" t="n">
        <v>-1</v>
      </c>
      <c r="B14" s="8" t="n">
        <v>1</v>
      </c>
      <c r="C14" s="7" t="s">
        <v>152</v>
      </c>
    </row>
    <row r="15" customFormat="false" ht="15" hidden="false" customHeight="false" outlineLevel="0" collapsed="false">
      <c r="A15" s="26" t="n">
        <v>0</v>
      </c>
      <c r="B15" s="8" t="n">
        <v>1</v>
      </c>
      <c r="C15" s="7" t="s">
        <v>152</v>
      </c>
    </row>
    <row r="16" customFormat="false" ht="15" hidden="false" customHeight="false" outlineLevel="0" collapsed="false">
      <c r="A16" s="26" t="n">
        <v>1</v>
      </c>
      <c r="B16" s="8" t="n">
        <v>1</v>
      </c>
      <c r="C16" s="7" t="s">
        <v>152</v>
      </c>
    </row>
    <row r="17" customFormat="false" ht="15" hidden="false" customHeight="false" outlineLevel="0" collapsed="false">
      <c r="A17" s="26" t="n">
        <v>2</v>
      </c>
      <c r="B17" s="8" t="n">
        <v>1</v>
      </c>
      <c r="C17" s="7" t="s">
        <v>152</v>
      </c>
    </row>
    <row r="18" customFormat="false" ht="15" hidden="false" customHeight="false" outlineLevel="0" collapsed="false">
      <c r="A18" s="26" t="n">
        <v>3</v>
      </c>
      <c r="B18" s="8" t="n">
        <v>1</v>
      </c>
      <c r="C18" s="7" t="s">
        <v>152</v>
      </c>
    </row>
    <row r="19" customFormat="false" ht="15" hidden="false" customHeight="false" outlineLevel="0" collapsed="false">
      <c r="A19" s="26" t="n">
        <v>4</v>
      </c>
      <c r="B19" s="8" t="n">
        <v>1</v>
      </c>
      <c r="C19" s="7" t="s">
        <v>152</v>
      </c>
    </row>
    <row r="20" customFormat="false" ht="15" hidden="false" customHeight="false" outlineLevel="0" collapsed="false">
      <c r="A20" s="26" t="n">
        <v>5</v>
      </c>
      <c r="B20" s="8" t="n">
        <v>1</v>
      </c>
      <c r="C20" s="7" t="s">
        <v>152</v>
      </c>
    </row>
    <row r="21" customFormat="false" ht="15" hidden="false" customHeight="false" outlineLevel="0" collapsed="false">
      <c r="A21" s="26" t="n">
        <v>6</v>
      </c>
      <c r="B21" s="8" t="n">
        <v>0.88</v>
      </c>
      <c r="C21" s="7" t="s">
        <v>153</v>
      </c>
    </row>
    <row r="22" customFormat="false" ht="15" hidden="false" customHeight="false" outlineLevel="0" collapsed="false">
      <c r="A22" s="26" t="n">
        <v>7</v>
      </c>
      <c r="B22" s="8" t="n">
        <v>0.68</v>
      </c>
      <c r="C22" s="7" t="s">
        <v>153</v>
      </c>
    </row>
    <row r="23" customFormat="false" ht="15" hidden="false" customHeight="false" outlineLevel="0" collapsed="false">
      <c r="A23" s="26" t="n">
        <v>8</v>
      </c>
      <c r="B23" s="8" t="n">
        <v>0.36</v>
      </c>
      <c r="C23" s="7" t="s">
        <v>153</v>
      </c>
    </row>
    <row r="24" customFormat="false" ht="15" hidden="false" customHeight="false" outlineLevel="0" collapsed="false">
      <c r="A24" s="26" t="n">
        <v>9</v>
      </c>
      <c r="B24" s="8" t="n">
        <v>0.15</v>
      </c>
      <c r="C24" s="7" t="s">
        <v>153</v>
      </c>
    </row>
    <row r="25" customFormat="false" ht="15" hidden="false" customHeight="false" outlineLevel="0" collapsed="false">
      <c r="A25" s="26" t="n">
        <v>10</v>
      </c>
      <c r="B25" s="8" t="n">
        <v>0.02</v>
      </c>
      <c r="C25" s="7" t="s">
        <v>154</v>
      </c>
    </row>
    <row r="27" customFormat="false" ht="15" hidden="false" customHeight="false" outlineLevel="0" collapsed="false">
      <c r="A27" s="3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4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156</v>
      </c>
    </row>
    <row r="2" customFormat="false" ht="15" hidden="false" customHeight="false" outlineLevel="0" collapsed="false">
      <c r="A2" s="3" t="s">
        <v>157</v>
      </c>
    </row>
    <row r="4" customFormat="false" ht="31.5" hidden="false" customHeight="true" outlineLevel="0" collapsed="false">
      <c r="A4" s="4" t="s">
        <v>158</v>
      </c>
      <c r="B4" s="4" t="s">
        <v>159</v>
      </c>
      <c r="C4" s="4" t="s">
        <v>160</v>
      </c>
      <c r="D4" s="4" t="s">
        <v>161</v>
      </c>
      <c r="E4" s="4" t="s">
        <v>162</v>
      </c>
    </row>
    <row r="5" customFormat="false" ht="15" hidden="false" customHeight="false" outlineLevel="0" collapsed="false">
      <c r="A5" s="5" t="s">
        <v>163</v>
      </c>
      <c r="B5" s="27" t="n">
        <v>260</v>
      </c>
      <c r="C5" s="27" t="n">
        <v>0.86</v>
      </c>
      <c r="D5" s="27" t="n">
        <v>1.164</v>
      </c>
      <c r="E5" s="7" t="s">
        <v>164</v>
      </c>
    </row>
    <row r="6" customFormat="false" ht="15" hidden="false" customHeight="false" outlineLevel="0" collapsed="false">
      <c r="A6" s="5" t="s">
        <v>165</v>
      </c>
      <c r="B6" s="27" t="n">
        <v>24.3</v>
      </c>
      <c r="C6" s="27" t="n">
        <v>0.506</v>
      </c>
      <c r="D6" s="27" t="n">
        <v>1.0523</v>
      </c>
      <c r="E6" s="7"/>
    </row>
    <row r="7" customFormat="false" ht="15" hidden="false" customHeight="false" outlineLevel="0" collapsed="false">
      <c r="A7" s="5" t="s">
        <v>166</v>
      </c>
      <c r="B7" s="27" t="n">
        <v>5.35</v>
      </c>
      <c r="C7" s="27" t="n">
        <v>0.7</v>
      </c>
      <c r="D7" s="27" t="n">
        <v>1.027</v>
      </c>
      <c r="E7" s="7"/>
    </row>
    <row r="8" customFormat="false" ht="15" hidden="false" customHeight="false" outlineLevel="0" collapsed="false">
      <c r="A8" s="5" t="s">
        <v>167</v>
      </c>
      <c r="B8" s="27" t="n">
        <v>1.67</v>
      </c>
      <c r="C8" s="27" t="n">
        <v>0.61</v>
      </c>
      <c r="D8" s="27" t="n">
        <v>1.0112</v>
      </c>
      <c r="E8" s="7"/>
    </row>
    <row r="9" customFormat="false" ht="15" hidden="false" customHeight="false" outlineLevel="0" collapsed="false">
      <c r="A9" s="5" t="s">
        <v>168</v>
      </c>
      <c r="B9" s="27" t="n">
        <v>5.9</v>
      </c>
      <c r="C9" s="27" t="n">
        <v>1.18</v>
      </c>
      <c r="D9" s="27" t="n">
        <v>0.9975</v>
      </c>
      <c r="E9" s="7"/>
    </row>
    <row r="11" customFormat="false" ht="15" hidden="false" customHeight="false" outlineLevel="0" collapsed="false">
      <c r="A11" s="5" t="s">
        <v>169</v>
      </c>
      <c r="B11" s="9" t="n">
        <v>6</v>
      </c>
    </row>
    <row r="13" customFormat="false" ht="31.5" hidden="false" customHeight="true" outlineLevel="0" collapsed="false">
      <c r="A13" s="4" t="s">
        <v>122</v>
      </c>
      <c r="B13" s="4" t="s">
        <v>170</v>
      </c>
      <c r="C13" s="4" t="s">
        <v>171</v>
      </c>
      <c r="D13" s="4" t="s">
        <v>172</v>
      </c>
      <c r="E13" s="4" t="s">
        <v>173</v>
      </c>
      <c r="F13" s="4" t="s">
        <v>174</v>
      </c>
      <c r="G13" s="4" t="s">
        <v>175</v>
      </c>
    </row>
    <row r="14" customFormat="false" ht="15" hidden="false" customHeight="false" outlineLevel="0" collapsed="false">
      <c r="A14" s="5" t="n">
        <v>1</v>
      </c>
      <c r="B14" s="16" t="n">
        <f aca="false">MAX(10,ROUND($B$5*A14^$C$5*$D$5^A14/10,0)*10)</f>
        <v>300</v>
      </c>
      <c r="C14" s="24" t="n">
        <f aca="false">ROUND($B$7*A14^$C$7*$D$7^A14,1)</f>
        <v>5.5</v>
      </c>
      <c r="D14" s="28" t="n">
        <f aca="false">ROUND($B$8*A14^$C$8*$D$8^A14,2)</f>
        <v>1.69</v>
      </c>
      <c r="E14" s="16" t="n">
        <f aca="false">$B$11*A14</f>
        <v>6</v>
      </c>
      <c r="F14" s="24" t="n">
        <f aca="false">ROUND($B$9*A14^$C$9*$D$9^A14,1)</f>
        <v>5.9</v>
      </c>
      <c r="G14" s="24" t="n">
        <f aca="false">ROUND($B$6*A14^$C$6*$D$6^A14,1)</f>
        <v>25.6</v>
      </c>
    </row>
    <row r="15" customFormat="false" ht="15" hidden="false" customHeight="false" outlineLevel="0" collapsed="false">
      <c r="A15" s="5" t="n">
        <v>2</v>
      </c>
      <c r="B15" s="16" t="n">
        <f aca="false">B14+MAX(10,ROUND($B$5*A15^$C$5*$D$5^A15/10,0)*10)</f>
        <v>940</v>
      </c>
      <c r="C15" s="24" t="n">
        <f aca="false">ROUND($B$7*A15^$C$7*$D$7^A15,1)</f>
        <v>9.2</v>
      </c>
      <c r="D15" s="28" t="n">
        <f aca="false">ROUND($B$8*A15^$C$8*$D$8^A15,2)</f>
        <v>2.61</v>
      </c>
      <c r="E15" s="16" t="n">
        <f aca="false">$B$11*A15</f>
        <v>12</v>
      </c>
      <c r="F15" s="24" t="n">
        <f aca="false">ROUND($B$9*A15^$C$9*$D$9^A15,1)</f>
        <v>13.3</v>
      </c>
      <c r="G15" s="24" t="n">
        <f aca="false">ROUND($B$6*A15^$C$6*$D$6^A15,1)</f>
        <v>38.2</v>
      </c>
    </row>
    <row r="16" customFormat="false" ht="15" hidden="false" customHeight="false" outlineLevel="0" collapsed="false">
      <c r="A16" s="5" t="n">
        <v>3</v>
      </c>
      <c r="B16" s="16" t="n">
        <f aca="false">B15+MAX(10,ROUND($B$5*A16^$C$5*$D$5^A16/10,0)*10)</f>
        <v>1990</v>
      </c>
      <c r="C16" s="24" t="n">
        <f aca="false">ROUND($B$7*A16^$C$7*$D$7^A16,1)</f>
        <v>12.5</v>
      </c>
      <c r="D16" s="28" t="n">
        <f aca="false">ROUND($B$8*A16^$C$8*$D$8^A16,2)</f>
        <v>3.37</v>
      </c>
      <c r="E16" s="16" t="n">
        <f aca="false">$B$11*A16</f>
        <v>18</v>
      </c>
      <c r="F16" s="24" t="n">
        <f aca="false">ROUND($B$9*A16^$C$9*$D$9^A16,1)</f>
        <v>21.4</v>
      </c>
      <c r="G16" s="24" t="n">
        <f aca="false">ROUND($B$6*A16^$C$6*$D$6^A16,1)</f>
        <v>49.4</v>
      </c>
    </row>
    <row r="17" customFormat="false" ht="15" hidden="false" customHeight="false" outlineLevel="0" collapsed="false">
      <c r="A17" s="5" t="n">
        <v>4</v>
      </c>
      <c r="B17" s="16" t="n">
        <f aca="false">B16+MAX(10,ROUND($B$5*A17^$C$5*$D$5^A17/10,0)*10)</f>
        <v>3560</v>
      </c>
      <c r="C17" s="24" t="n">
        <f aca="false">ROUND($B$7*A17^$C$7*$D$7^A17,1)</f>
        <v>15.7</v>
      </c>
      <c r="D17" s="28" t="n">
        <f aca="false">ROUND($B$8*A17^$C$8*$D$8^A17,2)</f>
        <v>4.07</v>
      </c>
      <c r="E17" s="16" t="n">
        <f aca="false">$B$11*A17</f>
        <v>24</v>
      </c>
      <c r="F17" s="24" t="n">
        <f aca="false">ROUND($B$9*A17^$C$9*$D$9^A17,1)</f>
        <v>30</v>
      </c>
      <c r="G17" s="24" t="n">
        <f aca="false">ROUND($B$6*A17^$C$6*$D$6^A17,1)</f>
        <v>60.1</v>
      </c>
    </row>
    <row r="18" customFormat="false" ht="15" hidden="false" customHeight="false" outlineLevel="0" collapsed="false">
      <c r="A18" s="5" t="n">
        <v>5</v>
      </c>
      <c r="B18" s="16" t="n">
        <f aca="false">B17+MAX(10,ROUND($B$5*A18^$C$5*$D$5^A18/10,0)*10)</f>
        <v>5780</v>
      </c>
      <c r="C18" s="24" t="n">
        <f aca="false">ROUND($B$7*A18^$C$7*$D$7^A18,1)</f>
        <v>18.9</v>
      </c>
      <c r="D18" s="28" t="n">
        <f aca="false">ROUND($B$8*A18^$C$8*$D$8^A18,2)</f>
        <v>4.71</v>
      </c>
      <c r="E18" s="16" t="n">
        <f aca="false">$B$11*A18</f>
        <v>30</v>
      </c>
      <c r="F18" s="24" t="n">
        <f aca="false">ROUND($B$9*A18^$C$9*$D$9^A18,1)</f>
        <v>38.9</v>
      </c>
      <c r="G18" s="24" t="n">
        <f aca="false">ROUND($B$6*A18^$C$6*$D$6^A18,1)</f>
        <v>70.8</v>
      </c>
    </row>
    <row r="19" customFormat="false" ht="15" hidden="false" customHeight="false" outlineLevel="0" collapsed="false">
      <c r="A19" s="5" t="n">
        <v>6</v>
      </c>
      <c r="B19" s="16" t="n">
        <f aca="false">B18+MAX(10,ROUND($B$5*A19^$C$5*$D$5^A19/10,0)*10)</f>
        <v>8800</v>
      </c>
      <c r="C19" s="24" t="n">
        <f aca="false">ROUND($B$7*A19^$C$7*$D$7^A19,1)</f>
        <v>22</v>
      </c>
      <c r="D19" s="28" t="n">
        <f aca="false">ROUND($B$8*A19^$C$8*$D$8^A19,2)</f>
        <v>5.33</v>
      </c>
      <c r="E19" s="16" t="n">
        <f aca="false">$B$11*A19</f>
        <v>36</v>
      </c>
      <c r="F19" s="24" t="n">
        <f aca="false">ROUND($B$9*A19^$C$9*$D$9^A19,1)</f>
        <v>48.1</v>
      </c>
      <c r="G19" s="24" t="n">
        <f aca="false">ROUND($B$6*A19^$C$6*$D$6^A19,1)</f>
        <v>81.7</v>
      </c>
    </row>
    <row r="20" customFormat="false" ht="15" hidden="false" customHeight="false" outlineLevel="0" collapsed="false">
      <c r="A20" s="5" t="n">
        <v>7</v>
      </c>
      <c r="B20" s="16" t="n">
        <f aca="false">B19+MAX(10,ROUND($B$5*A20^$C$5*$D$5^A20/10,0)*10)</f>
        <v>12810</v>
      </c>
      <c r="C20" s="24" t="n">
        <f aca="false">ROUND($B$7*A20^$C$7*$D$7^A20,1)</f>
        <v>25.2</v>
      </c>
      <c r="D20" s="28" t="n">
        <f aca="false">ROUND($B$8*A20^$C$8*$D$8^A20,2)</f>
        <v>5.92</v>
      </c>
      <c r="E20" s="16" t="n">
        <f aca="false">$B$11*A20</f>
        <v>42</v>
      </c>
      <c r="F20" s="24" t="n">
        <f aca="false">ROUND($B$9*A20^$C$9*$D$9^A20,1)</f>
        <v>57.6</v>
      </c>
      <c r="G20" s="24" t="n">
        <f aca="false">ROUND($B$6*A20^$C$6*$D$6^A20,1)</f>
        <v>92.9</v>
      </c>
    </row>
    <row r="21" customFormat="false" ht="15" hidden="false" customHeight="false" outlineLevel="0" collapsed="false">
      <c r="A21" s="5" t="n">
        <v>8</v>
      </c>
      <c r="B21" s="16" t="n">
        <f aca="false">B20+MAX(10,ROUND($B$5*A21^$C$5*$D$5^A21/10,0)*10)</f>
        <v>18050</v>
      </c>
      <c r="C21" s="24" t="n">
        <f aca="false">ROUND($B$7*A21^$C$7*$D$7^A21,1)</f>
        <v>28.4</v>
      </c>
      <c r="D21" s="28" t="n">
        <f aca="false">ROUND($B$8*A21^$C$8*$D$8^A21,2)</f>
        <v>6.49</v>
      </c>
      <c r="E21" s="16" t="n">
        <f aca="false">$B$11*A21</f>
        <v>48</v>
      </c>
      <c r="F21" s="24" t="n">
        <f aca="false">ROUND($B$9*A21^$C$9*$D$9^A21,1)</f>
        <v>67.3</v>
      </c>
      <c r="G21" s="24" t="n">
        <f aca="false">ROUND($B$6*A21^$C$6*$D$6^A21,1)</f>
        <v>104.6</v>
      </c>
    </row>
    <row r="22" customFormat="false" ht="15" hidden="false" customHeight="false" outlineLevel="0" collapsed="false">
      <c r="A22" s="5" t="n">
        <v>9</v>
      </c>
      <c r="B22" s="16" t="n">
        <f aca="false">B21+MAX(10,ROUND($B$5*A22^$C$5*$D$5^A22/10,0)*10)</f>
        <v>24800</v>
      </c>
      <c r="C22" s="24" t="n">
        <f aca="false">ROUND($B$7*A22^$C$7*$D$7^A22,1)</f>
        <v>31.7</v>
      </c>
      <c r="D22" s="28" t="n">
        <f aca="false">ROUND($B$8*A22^$C$8*$D$8^A22,2)</f>
        <v>7.05</v>
      </c>
      <c r="E22" s="16" t="n">
        <f aca="false">$B$11*A22</f>
        <v>54</v>
      </c>
      <c r="F22" s="24" t="n">
        <f aca="false">ROUND($B$9*A22^$C$9*$D$9^A22,1)</f>
        <v>77.1</v>
      </c>
      <c r="G22" s="24" t="n">
        <f aca="false">ROUND($B$6*A22^$C$6*$D$6^A22,1)</f>
        <v>116.9</v>
      </c>
    </row>
    <row r="23" customFormat="false" ht="15" hidden="false" customHeight="false" outlineLevel="0" collapsed="false">
      <c r="A23" s="5" t="n">
        <v>10</v>
      </c>
      <c r="B23" s="16" t="n">
        <f aca="false">B22+MAX(10,ROUND($B$5*A23^$C$5*$D$5^A23/10,0)*10)</f>
        <v>33400</v>
      </c>
      <c r="C23" s="24" t="n">
        <f aca="false">ROUND($B$7*A23^$C$7*$D$7^A23,1)</f>
        <v>35</v>
      </c>
      <c r="D23" s="28" t="n">
        <f aca="false">ROUND($B$8*A23^$C$8*$D$8^A23,2)</f>
        <v>7.6</v>
      </c>
      <c r="E23" s="16" t="n">
        <f aca="false">$B$11*A23</f>
        <v>60</v>
      </c>
      <c r="F23" s="24" t="n">
        <f aca="false">ROUND($B$9*A23^$C$9*$D$9^A23,1)</f>
        <v>87.1</v>
      </c>
      <c r="G23" s="24" t="n">
        <f aca="false">ROUND($B$6*A23^$C$6*$D$6^A23,1)</f>
        <v>129.7</v>
      </c>
    </row>
    <row r="24" customFormat="false" ht="15" hidden="false" customHeight="false" outlineLevel="0" collapsed="false">
      <c r="A24" s="5" t="n">
        <v>11</v>
      </c>
      <c r="B24" s="16" t="n">
        <f aca="false">B23+MAX(10,ROUND($B$5*A24^$C$5*$D$5^A24/10,0)*10)</f>
        <v>44270</v>
      </c>
      <c r="C24" s="24" t="n">
        <f aca="false">ROUND($B$7*A24^$C$7*$D$7^A24,1)</f>
        <v>38.4</v>
      </c>
      <c r="D24" s="28" t="n">
        <f aca="false">ROUND($B$8*A24^$C$8*$D$8^A24,2)</f>
        <v>8.15</v>
      </c>
      <c r="E24" s="16" t="n">
        <f aca="false">$B$11*A24</f>
        <v>66</v>
      </c>
      <c r="F24" s="24" t="n">
        <f aca="false">ROUND($B$9*A24^$C$9*$D$9^A24,1)</f>
        <v>97.2</v>
      </c>
      <c r="G24" s="24" t="n">
        <f aca="false">ROUND($B$6*A24^$C$6*$D$6^A24,1)</f>
        <v>143.2</v>
      </c>
    </row>
    <row r="25" customFormat="false" ht="15" hidden="false" customHeight="false" outlineLevel="0" collapsed="false">
      <c r="A25" s="5" t="n">
        <v>12</v>
      </c>
      <c r="B25" s="16" t="n">
        <f aca="false">B24+MAX(10,ROUND($B$5*A25^$C$5*$D$5^A25/10,0)*10)</f>
        <v>57900</v>
      </c>
      <c r="C25" s="24" t="n">
        <f aca="false">ROUND($B$7*A25^$C$7*$D$7^A25,1)</f>
        <v>41.9</v>
      </c>
      <c r="D25" s="28" t="n">
        <f aca="false">ROUND($B$8*A25^$C$8*$D$8^A25,2)</f>
        <v>8.69</v>
      </c>
      <c r="E25" s="16" t="n">
        <f aca="false">$B$11*A25</f>
        <v>72</v>
      </c>
      <c r="F25" s="24" t="n">
        <f aca="false">ROUND($B$9*A25^$C$9*$D$9^A25,1)</f>
        <v>107.5</v>
      </c>
      <c r="G25" s="24" t="n">
        <f aca="false">ROUND($B$6*A25^$C$6*$D$6^A25,1)</f>
        <v>157.5</v>
      </c>
    </row>
    <row r="26" customFormat="false" ht="15" hidden="false" customHeight="false" outlineLevel="0" collapsed="false">
      <c r="A26" s="5" t="n">
        <v>13</v>
      </c>
      <c r="B26" s="16" t="n">
        <f aca="false">B25+MAX(10,ROUND($B$5*A26^$C$5*$D$5^A26/10,0)*10)</f>
        <v>74900</v>
      </c>
      <c r="C26" s="24" t="n">
        <f aca="false">ROUND($B$7*A26^$C$7*$D$7^A26,1)</f>
        <v>45.6</v>
      </c>
      <c r="D26" s="28" t="n">
        <f aca="false">ROUND($B$8*A26^$C$8*$D$8^A26,2)</f>
        <v>9.23</v>
      </c>
      <c r="E26" s="16" t="n">
        <f aca="false">$B$11*A26</f>
        <v>78</v>
      </c>
      <c r="F26" s="24" t="n">
        <f aca="false">ROUND($B$9*A26^$C$9*$D$9^A26,1)</f>
        <v>117.8</v>
      </c>
      <c r="G26" s="24" t="n">
        <f aca="false">ROUND($B$6*A26^$C$6*$D$6^A26,1)</f>
        <v>172.6</v>
      </c>
    </row>
    <row r="27" customFormat="false" ht="15" hidden="false" customHeight="false" outlineLevel="0" collapsed="false">
      <c r="A27" s="5" t="n">
        <v>14</v>
      </c>
      <c r="B27" s="16" t="n">
        <f aca="false">B26+MAX(10,ROUND($B$5*A27^$C$5*$D$5^A27/10,0)*10)</f>
        <v>95990</v>
      </c>
      <c r="C27" s="24" t="n">
        <f aca="false">ROUND($B$7*A27^$C$7*$D$7^A27,1)</f>
        <v>49.3</v>
      </c>
      <c r="D27" s="28" t="n">
        <f aca="false">ROUND($B$8*A27^$C$8*$D$8^A27,2)</f>
        <v>9.76</v>
      </c>
      <c r="E27" s="16" t="n">
        <f aca="false">$B$11*A27</f>
        <v>84</v>
      </c>
      <c r="F27" s="24" t="n">
        <f aca="false">ROUND($B$9*A27^$C$9*$D$9^A27,1)</f>
        <v>128.3</v>
      </c>
      <c r="G27" s="24" t="n">
        <f aca="false">ROUND($B$6*A27^$C$6*$D$6^A27,1)</f>
        <v>188.6</v>
      </c>
    </row>
    <row r="28" customFormat="false" ht="15" hidden="false" customHeight="false" outlineLevel="0" collapsed="false">
      <c r="A28" s="5" t="n">
        <v>15</v>
      </c>
      <c r="B28" s="16" t="n">
        <f aca="false">B27+MAX(10,ROUND($B$5*A28^$C$5*$D$5^A28/10,0)*10)</f>
        <v>122030</v>
      </c>
      <c r="C28" s="24" t="n">
        <f aca="false">ROUND($B$7*A28^$C$7*$D$7^A28,1)</f>
        <v>53.1</v>
      </c>
      <c r="D28" s="28" t="n">
        <f aca="false">ROUND($B$8*A28^$C$8*$D$8^A28,2)</f>
        <v>10.3</v>
      </c>
      <c r="E28" s="16" t="n">
        <f aca="false">$B$11*A28</f>
        <v>90</v>
      </c>
      <c r="F28" s="24" t="n">
        <f aca="false">ROUND($B$9*A28^$C$9*$D$9^A28,1)</f>
        <v>138.8</v>
      </c>
      <c r="G28" s="24" t="n">
        <f aca="false">ROUND($B$6*A28^$C$6*$D$6^A28,1)</f>
        <v>205.5</v>
      </c>
    </row>
    <row r="29" customFormat="false" ht="15" hidden="false" customHeight="false" outlineLevel="0" collapsed="false">
      <c r="A29" s="5" t="n">
        <v>16</v>
      </c>
      <c r="B29" s="16" t="n">
        <f aca="false">B28+MAX(10,ROUND($B$5*A29^$C$5*$D$5^A29/10,0)*10)</f>
        <v>154080</v>
      </c>
      <c r="C29" s="24" t="n">
        <f aca="false">ROUND($B$7*A29^$C$7*$D$7^A29,1)</f>
        <v>57.1</v>
      </c>
      <c r="D29" s="28" t="n">
        <f aca="false">ROUND($B$8*A29^$C$8*$D$8^A29,2)</f>
        <v>10.83</v>
      </c>
      <c r="E29" s="16" t="n">
        <f aca="false">$B$11*A29</f>
        <v>96</v>
      </c>
      <c r="F29" s="24" t="n">
        <f aca="false">ROUND($B$9*A29^$C$9*$D$9^A29,1)</f>
        <v>149.4</v>
      </c>
      <c r="G29" s="24" t="n">
        <f aca="false">ROUND($B$6*A29^$C$6*$D$6^A29,1)</f>
        <v>223.4</v>
      </c>
    </row>
    <row r="30" customFormat="false" ht="15" hidden="false" customHeight="false" outlineLevel="0" collapsed="false">
      <c r="A30" s="5" t="n">
        <v>17</v>
      </c>
      <c r="B30" s="16" t="n">
        <f aca="false">B29+MAX(10,ROUND($B$5*A30^$C$5*$D$5^A30/10,0)*10)</f>
        <v>193380</v>
      </c>
      <c r="C30" s="24" t="n">
        <f aca="false">ROUND($B$7*A30^$C$7*$D$7^A30,1)</f>
        <v>61.1</v>
      </c>
      <c r="D30" s="28" t="n">
        <f aca="false">ROUND($B$8*A30^$C$8*$D$8^A30,2)</f>
        <v>11.36</v>
      </c>
      <c r="E30" s="16" t="n">
        <f aca="false">$B$11*A30</f>
        <v>102</v>
      </c>
      <c r="F30" s="24" t="n">
        <f aca="false">ROUND($B$9*A30^$C$9*$D$9^A30,1)</f>
        <v>160.1</v>
      </c>
      <c r="G30" s="24" t="n">
        <f aca="false">ROUND($B$6*A30^$C$6*$D$6^A30,1)</f>
        <v>242.4</v>
      </c>
    </row>
    <row r="31" customFormat="false" ht="15" hidden="false" customHeight="false" outlineLevel="0" collapsed="false">
      <c r="A31" s="5" t="n">
        <v>18</v>
      </c>
      <c r="B31" s="16" t="n">
        <f aca="false">B30+MAX(10,ROUND($B$5*A31^$C$5*$D$5^A31/10,0)*10)</f>
        <v>241430</v>
      </c>
      <c r="C31" s="24" t="n">
        <f aca="false">ROUND($B$7*A31^$C$7*$D$7^A31,1)</f>
        <v>65.4</v>
      </c>
      <c r="D31" s="28" t="n">
        <f aca="false">ROUND($B$8*A31^$C$8*$D$8^A31,2)</f>
        <v>11.9</v>
      </c>
      <c r="E31" s="16" t="n">
        <f aca="false">$B$11*A31</f>
        <v>108</v>
      </c>
      <c r="F31" s="24" t="n">
        <f aca="false">ROUND($B$9*A31^$C$9*$D$9^A31,1)</f>
        <v>170.8</v>
      </c>
      <c r="G31" s="24" t="n">
        <f aca="false">ROUND($B$6*A31^$C$6*$D$6^A31,1)</f>
        <v>262.6</v>
      </c>
    </row>
    <row r="32" customFormat="false" ht="15" hidden="false" customHeight="false" outlineLevel="0" collapsed="false">
      <c r="A32" s="5" t="n">
        <v>19</v>
      </c>
      <c r="B32" s="16" t="n">
        <f aca="false">B31+MAX(10,ROUND($B$5*A32^$C$5*$D$5^A32/10,0)*10)</f>
        <v>300020</v>
      </c>
      <c r="C32" s="24" t="n">
        <f aca="false">ROUND($B$7*A32^$C$7*$D$7^A32,1)</f>
        <v>69.7</v>
      </c>
      <c r="D32" s="28" t="n">
        <f aca="false">ROUND($B$8*A32^$C$8*$D$8^A32,2)</f>
        <v>12.44</v>
      </c>
      <c r="E32" s="16" t="n">
        <f aca="false">$B$11*A32</f>
        <v>114</v>
      </c>
      <c r="F32" s="24" t="n">
        <f aca="false">ROUND($B$9*A32^$C$9*$D$9^A32,1)</f>
        <v>181.6</v>
      </c>
      <c r="G32" s="24" t="n">
        <f aca="false">ROUND($B$6*A32^$C$6*$D$6^A32,1)</f>
        <v>284</v>
      </c>
    </row>
    <row r="33" customFormat="false" ht="15" hidden="false" customHeight="false" outlineLevel="0" collapsed="false">
      <c r="A33" s="5" t="n">
        <v>20</v>
      </c>
      <c r="B33" s="16" t="n">
        <f aca="false">B32+MAX(10,ROUND($B$5*A33^$C$5*$D$5^A33/10,0)*10)</f>
        <v>371290</v>
      </c>
      <c r="C33" s="24" t="n">
        <f aca="false">ROUND($B$7*A33^$C$7*$D$7^A33,1)</f>
        <v>74.2</v>
      </c>
      <c r="D33" s="28" t="n">
        <f aca="false">ROUND($B$8*A33^$C$8*$D$8^A33,2)</f>
        <v>12.97</v>
      </c>
      <c r="E33" s="16" t="n">
        <f aca="false">$B$11*A33</f>
        <v>120</v>
      </c>
      <c r="F33" s="24" t="n">
        <f aca="false">ROUND($B$9*A33^$C$9*$D$9^A33,1)</f>
        <v>192.5</v>
      </c>
      <c r="G33" s="24" t="n">
        <f aca="false">ROUND($B$6*A33^$C$6*$D$6^A33,1)</f>
        <v>306.7</v>
      </c>
    </row>
    <row r="34" customFormat="false" ht="15" hidden="false" customHeight="false" outlineLevel="0" collapsed="false">
      <c r="A34" s="5" t="n">
        <v>21</v>
      </c>
      <c r="B34" s="16" t="n">
        <f aca="false">B33+MAX(10,ROUND($B$5*A34^$C$5*$D$5^A34/10,0)*10)</f>
        <v>457810</v>
      </c>
      <c r="C34" s="24" t="n">
        <f aca="false">ROUND($B$7*A34^$C$7*$D$7^A34,1)</f>
        <v>78.9</v>
      </c>
      <c r="D34" s="28" t="n">
        <f aca="false">ROUND($B$8*A34^$C$8*$D$8^A34,2)</f>
        <v>13.52</v>
      </c>
      <c r="E34" s="16" t="n">
        <f aca="false">$B$11*A34</f>
        <v>126</v>
      </c>
      <c r="F34" s="24" t="n">
        <f aca="false">ROUND($B$9*A34^$C$9*$D$9^A34,1)</f>
        <v>203.3</v>
      </c>
      <c r="G34" s="24" t="n">
        <f aca="false">ROUND($B$6*A34^$C$6*$D$6^A34,1)</f>
        <v>330.8</v>
      </c>
    </row>
    <row r="35" customFormat="false" ht="15" hidden="false" customHeight="false" outlineLevel="0" collapsed="false">
      <c r="A35" s="5" t="n">
        <v>22</v>
      </c>
      <c r="B35" s="16" t="n">
        <f aca="false">B34+MAX(10,ROUND($B$5*A35^$C$5*$D$5^A35/10,0)*10)</f>
        <v>562620</v>
      </c>
      <c r="C35" s="24" t="n">
        <f aca="false">ROUND($B$7*A35^$C$7*$D$7^A35,1)</f>
        <v>83.7</v>
      </c>
      <c r="D35" s="28" t="n">
        <f aca="false">ROUND($B$8*A35^$C$8*$D$8^A35,2)</f>
        <v>14.06</v>
      </c>
      <c r="E35" s="16" t="n">
        <f aca="false">$B$11*A35</f>
        <v>132</v>
      </c>
      <c r="F35" s="24" t="n">
        <f aca="false">ROUND($B$9*A35^$C$9*$D$9^A35,1)</f>
        <v>214.3</v>
      </c>
      <c r="G35" s="24" t="n">
        <f aca="false">ROUND($B$6*A35^$C$6*$D$6^A35,1)</f>
        <v>356.4</v>
      </c>
    </row>
    <row r="36" customFormat="false" ht="15" hidden="false" customHeight="false" outlineLevel="0" collapsed="false">
      <c r="A36" s="5" t="n">
        <v>23</v>
      </c>
      <c r="B36" s="16" t="n">
        <f aca="false">B35+MAX(10,ROUND($B$5*A36^$C$5*$D$5^A36/10,0)*10)</f>
        <v>689380</v>
      </c>
      <c r="C36" s="24" t="n">
        <f aca="false">ROUND($B$7*A36^$C$7*$D$7^A36,1)</f>
        <v>88.7</v>
      </c>
      <c r="D36" s="28" t="n">
        <f aca="false">ROUND($B$8*A36^$C$8*$D$8^A36,2)</f>
        <v>14.61</v>
      </c>
      <c r="E36" s="16" t="n">
        <f aca="false">$B$11*A36</f>
        <v>138</v>
      </c>
      <c r="F36" s="24" t="n">
        <f aca="false">ROUND($B$9*A36^$C$9*$D$9^A36,1)</f>
        <v>225.3</v>
      </c>
      <c r="G36" s="24" t="n">
        <f aca="false">ROUND($B$6*A36^$C$6*$D$6^A36,1)</f>
        <v>383.6</v>
      </c>
    </row>
    <row r="37" customFormat="false" ht="15" hidden="false" customHeight="false" outlineLevel="0" collapsed="false">
      <c r="A37" s="5" t="n">
        <v>24</v>
      </c>
      <c r="B37" s="16" t="n">
        <f aca="false">B36+MAX(10,ROUND($B$5*A37^$C$5*$D$5^A37/10,0)*10)</f>
        <v>842430</v>
      </c>
      <c r="C37" s="24" t="n">
        <f aca="false">ROUND($B$7*A37^$C$7*$D$7^A37,1)</f>
        <v>93.8</v>
      </c>
      <c r="D37" s="28" t="n">
        <f aca="false">ROUND($B$8*A37^$C$8*$D$8^A37,2)</f>
        <v>15.16</v>
      </c>
      <c r="E37" s="16" t="n">
        <f aca="false">$B$11*A37</f>
        <v>144</v>
      </c>
      <c r="F37" s="24" t="n">
        <f aca="false">ROUND($B$9*A37^$C$9*$D$9^A37,1)</f>
        <v>236.3</v>
      </c>
      <c r="G37" s="24" t="n">
        <f aca="false">ROUND($B$6*A37^$C$6*$D$6^A37,1)</f>
        <v>412.4</v>
      </c>
    </row>
    <row r="38" customFormat="false" ht="15" hidden="false" customHeight="false" outlineLevel="0" collapsed="false">
      <c r="A38" s="5" t="n">
        <v>25</v>
      </c>
      <c r="B38" s="16" t="n">
        <f aca="false">B37+MAX(10,ROUND($B$5*A38^$C$5*$D$5^A38/10,0)*10)</f>
        <v>1026940</v>
      </c>
      <c r="C38" s="24" t="n">
        <f aca="false">ROUND($B$7*A38^$C$7*$D$7^A38,1)</f>
        <v>99.1</v>
      </c>
      <c r="D38" s="28" t="n">
        <f aca="false">ROUND($B$8*A38^$C$8*$D$8^A38,2)</f>
        <v>15.72</v>
      </c>
      <c r="E38" s="16" t="n">
        <f aca="false">$B$11*A38</f>
        <v>150</v>
      </c>
      <c r="F38" s="24" t="n">
        <f aca="false">ROUND($B$9*A38^$C$9*$D$9^A38,1)</f>
        <v>247.3</v>
      </c>
      <c r="G38" s="24" t="n">
        <f aca="false">ROUND($B$6*A38^$C$6*$D$6^A38,1)</f>
        <v>443.1</v>
      </c>
    </row>
    <row r="39" customFormat="false" ht="15" hidden="false" customHeight="false" outlineLevel="0" collapsed="false">
      <c r="A39" s="5" t="n">
        <v>26</v>
      </c>
      <c r="B39" s="16" t="n">
        <f aca="false">B38+MAX(10,ROUND($B$5*A39^$C$5*$D$5^A39/10,0)*10)</f>
        <v>1249080</v>
      </c>
      <c r="C39" s="24" t="n">
        <f aca="false">ROUND($B$7*A39^$C$7*$D$7^A39,1)</f>
        <v>104.6</v>
      </c>
      <c r="D39" s="28" t="n">
        <f aca="false">ROUND($B$8*A39^$C$8*$D$8^A39,2)</f>
        <v>16.28</v>
      </c>
      <c r="E39" s="16" t="n">
        <f aca="false">$B$11*A39</f>
        <v>156</v>
      </c>
      <c r="F39" s="24" t="n">
        <f aca="false">ROUND($B$9*A39^$C$9*$D$9^A39,1)</f>
        <v>258.4</v>
      </c>
      <c r="G39" s="24" t="n">
        <f aca="false">ROUND($B$6*A39^$C$6*$D$6^A39,1)</f>
        <v>475.6</v>
      </c>
    </row>
    <row r="40" customFormat="false" ht="15" hidden="false" customHeight="false" outlineLevel="0" collapsed="false">
      <c r="A40" s="5" t="n">
        <v>27</v>
      </c>
      <c r="B40" s="16" t="n">
        <f aca="false">B39+MAX(10,ROUND($B$5*A40^$C$5*$D$5^A40/10,0)*10)</f>
        <v>1516180</v>
      </c>
      <c r="C40" s="24" t="n">
        <f aca="false">ROUND($B$7*A40^$C$7*$D$7^A40,1)</f>
        <v>110.3</v>
      </c>
      <c r="D40" s="28" t="n">
        <f aca="false">ROUND($B$8*A40^$C$8*$D$8^A40,2)</f>
        <v>16.84</v>
      </c>
      <c r="E40" s="16" t="n">
        <f aca="false">$B$11*A40</f>
        <v>162</v>
      </c>
      <c r="F40" s="24" t="n">
        <f aca="false">ROUND($B$9*A40^$C$9*$D$9^A40,1)</f>
        <v>269.5</v>
      </c>
      <c r="G40" s="24" t="n">
        <f aca="false">ROUND($B$6*A40^$C$6*$D$6^A40,1)</f>
        <v>510.1</v>
      </c>
    </row>
    <row r="41" customFormat="false" ht="15" hidden="false" customHeight="false" outlineLevel="0" collapsed="false">
      <c r="A41" s="5" t="n">
        <v>28</v>
      </c>
      <c r="B41" s="16" t="n">
        <f aca="false">B40+MAX(10,ROUND($B$5*A41^$C$5*$D$5^A41/10,0)*10)</f>
        <v>1836960</v>
      </c>
      <c r="C41" s="24" t="n">
        <f aca="false">ROUND($B$7*A41^$C$7*$D$7^A41,1)</f>
        <v>116.2</v>
      </c>
      <c r="D41" s="28" t="n">
        <f aca="false">ROUND($B$8*A41^$C$8*$D$8^A41,2)</f>
        <v>17.41</v>
      </c>
      <c r="E41" s="16" t="n">
        <f aca="false">$B$11*A41</f>
        <v>168</v>
      </c>
      <c r="F41" s="24" t="n">
        <f aca="false">ROUND($B$9*A41^$C$9*$D$9^A41,1)</f>
        <v>280.6</v>
      </c>
      <c r="G41" s="24" t="n">
        <f aca="false">ROUND($B$6*A41^$C$6*$D$6^A41,1)</f>
        <v>546.7</v>
      </c>
    </row>
    <row r="42" customFormat="false" ht="15" hidden="false" customHeight="false" outlineLevel="0" collapsed="false">
      <c r="A42" s="5" t="n">
        <v>29</v>
      </c>
      <c r="B42" s="16" t="n">
        <f aca="false">B41+MAX(10,ROUND($B$5*A42^$C$5*$D$5^A42/10,0)*10)</f>
        <v>2221790</v>
      </c>
      <c r="C42" s="24" t="n">
        <f aca="false">ROUND($B$7*A42^$C$7*$D$7^A42,1)</f>
        <v>122.3</v>
      </c>
      <c r="D42" s="28" t="n">
        <f aca="false">ROUND($B$8*A42^$C$8*$D$8^A42,2)</f>
        <v>17.99</v>
      </c>
      <c r="E42" s="16" t="n">
        <f aca="false">$B$11*A42</f>
        <v>174</v>
      </c>
      <c r="F42" s="24" t="n">
        <f aca="false">ROUND($B$9*A42^$C$9*$D$9^A42,1)</f>
        <v>291.7</v>
      </c>
      <c r="G42" s="24" t="n">
        <f aca="false">ROUND($B$6*A42^$C$6*$D$6^A42,1)</f>
        <v>585.6</v>
      </c>
    </row>
    <row r="43" customFormat="false" ht="15" hidden="false" customHeight="false" outlineLevel="0" collapsed="false">
      <c r="A43" s="5" t="n">
        <v>30</v>
      </c>
      <c r="B43" s="16" t="n">
        <f aca="false">B42+MAX(10,ROUND($B$5*A43^$C$5*$D$5^A43/10,0)*10)</f>
        <v>2682990</v>
      </c>
      <c r="C43" s="24" t="n">
        <f aca="false">ROUND($B$7*A43^$C$7*$D$7^A43,1)</f>
        <v>128.7</v>
      </c>
      <c r="D43" s="28" t="n">
        <f aca="false">ROUND($B$8*A43^$C$8*$D$8^A43,2)</f>
        <v>18.57</v>
      </c>
      <c r="E43" s="16" t="n">
        <f aca="false">$B$11*A43</f>
        <v>180</v>
      </c>
      <c r="F43" s="24" t="n">
        <f aca="false">ROUND($B$9*A43^$C$9*$D$9^A43,1)</f>
        <v>302.9</v>
      </c>
      <c r="G43" s="24" t="n">
        <f aca="false">ROUND($B$6*A43^$C$6*$D$6^A43,1)</f>
        <v>626.9</v>
      </c>
    </row>
    <row r="44" customFormat="false" ht="15" hidden="false" customHeight="false" outlineLevel="0" collapsed="false">
      <c r="A44" s="5" t="n">
        <v>31</v>
      </c>
      <c r="B44" s="16" t="n">
        <f aca="false">B43+MAX(10,ROUND($B$5*A44^$C$5*$D$5^A44/10,0)*10)</f>
        <v>3235180</v>
      </c>
      <c r="C44" s="24" t="n">
        <f aca="false">ROUND($B$7*A44^$C$7*$D$7^A44,1)</f>
        <v>135.2</v>
      </c>
      <c r="D44" s="28" t="n">
        <f aca="false">ROUND($B$8*A44^$C$8*$D$8^A44,2)</f>
        <v>19.16</v>
      </c>
      <c r="E44" s="16" t="n">
        <f aca="false">$B$11*A44</f>
        <v>186</v>
      </c>
      <c r="F44" s="24" t="n">
        <f aca="false">ROUND($B$9*A44^$C$9*$D$9^A44,1)</f>
        <v>314</v>
      </c>
      <c r="G44" s="24" t="n">
        <f aca="false">ROUND($B$6*A44^$C$6*$D$6^A44,1)</f>
        <v>670.8</v>
      </c>
    </row>
    <row r="45" customFormat="false" ht="15" hidden="false" customHeight="false" outlineLevel="0" collapsed="false">
      <c r="A45" s="5" t="n">
        <v>32</v>
      </c>
      <c r="B45" s="16" t="n">
        <f aca="false">B44+MAX(10,ROUND($B$5*A45^$C$5*$D$5^A45/10,0)*10)</f>
        <v>3895720</v>
      </c>
      <c r="C45" s="24" t="n">
        <f aca="false">ROUND($B$7*A45^$C$7*$D$7^A45,1)</f>
        <v>142</v>
      </c>
      <c r="D45" s="28" t="n">
        <f aca="false">ROUND($B$8*A45^$C$8*$D$8^A45,2)</f>
        <v>19.75</v>
      </c>
      <c r="E45" s="16" t="n">
        <f aca="false">$B$11*A45</f>
        <v>192</v>
      </c>
      <c r="F45" s="24" t="n">
        <f aca="false">ROUND($B$9*A45^$C$9*$D$9^A45,1)</f>
        <v>325.2</v>
      </c>
      <c r="G45" s="24" t="n">
        <f aca="false">ROUND($B$6*A45^$C$6*$D$6^A45,1)</f>
        <v>717.3</v>
      </c>
    </row>
    <row r="46" customFormat="false" ht="15" hidden="false" customHeight="false" outlineLevel="0" collapsed="false">
      <c r="A46" s="5" t="n">
        <v>33</v>
      </c>
      <c r="B46" s="16" t="n">
        <f aca="false">B45+MAX(10,ROUND($B$5*A46^$C$5*$D$5^A46/10,0)*10)</f>
        <v>4685200</v>
      </c>
      <c r="C46" s="24" t="n">
        <f aca="false">ROUND($B$7*A46^$C$7*$D$7^A46,1)</f>
        <v>149</v>
      </c>
      <c r="D46" s="28" t="n">
        <f aca="false">ROUND($B$8*A46^$C$8*$D$8^A46,2)</f>
        <v>20.35</v>
      </c>
      <c r="E46" s="16" t="n">
        <f aca="false">$B$11*A46</f>
        <v>198</v>
      </c>
      <c r="F46" s="24" t="n">
        <f aca="false">ROUND($B$9*A46^$C$9*$D$9^A46,1)</f>
        <v>336.4</v>
      </c>
      <c r="G46" s="24" t="n">
        <f aca="false">ROUND($B$6*A46^$C$6*$D$6^A46,1)</f>
        <v>766.6</v>
      </c>
    </row>
    <row r="47" customFormat="false" ht="15" hidden="false" customHeight="false" outlineLevel="0" collapsed="false">
      <c r="A47" s="5" t="n">
        <v>34</v>
      </c>
      <c r="B47" s="16" t="n">
        <f aca="false">B46+MAX(10,ROUND($B$5*A47^$C$5*$D$5^A47/10,0)*10)</f>
        <v>5628060</v>
      </c>
      <c r="C47" s="24" t="n">
        <f aca="false">ROUND($B$7*A47^$C$7*$D$7^A47,1)</f>
        <v>156.2</v>
      </c>
      <c r="D47" s="28" t="n">
        <f aca="false">ROUND($B$8*A47^$C$8*$D$8^A47,2)</f>
        <v>20.96</v>
      </c>
      <c r="E47" s="16" t="n">
        <f aca="false">$B$11*A47</f>
        <v>204</v>
      </c>
      <c r="F47" s="24" t="n">
        <f aca="false">ROUND($B$9*A47^$C$9*$D$9^A47,1)</f>
        <v>347.6</v>
      </c>
      <c r="G47" s="24" t="n">
        <f aca="false">ROUND($B$6*A47^$C$6*$D$6^A47,1)</f>
        <v>819</v>
      </c>
    </row>
    <row r="48" customFormat="false" ht="15" hidden="false" customHeight="false" outlineLevel="0" collapsed="false">
      <c r="A48" s="5" t="n">
        <v>35</v>
      </c>
      <c r="B48" s="16" t="n">
        <f aca="false">B47+MAX(10,ROUND($B$5*A48^$C$5*$D$5^A48/10,0)*10)</f>
        <v>6753250</v>
      </c>
      <c r="C48" s="24" t="n">
        <f aca="false">ROUND($B$7*A48^$C$7*$D$7^A48,1)</f>
        <v>163.7</v>
      </c>
      <c r="D48" s="28" t="n">
        <f aca="false">ROUND($B$8*A48^$C$8*$D$8^A48,2)</f>
        <v>21.57</v>
      </c>
      <c r="E48" s="16" t="n">
        <f aca="false">$B$11*A48</f>
        <v>210</v>
      </c>
      <c r="F48" s="24" t="n">
        <f aca="false">ROUND($B$9*A48^$C$9*$D$9^A48,1)</f>
        <v>358.8</v>
      </c>
      <c r="G48" s="24" t="n">
        <f aca="false">ROUND($B$6*A48^$C$6*$D$6^A48,1)</f>
        <v>874.6</v>
      </c>
    </row>
    <row r="49" customFormat="false" ht="15" hidden="false" customHeight="false" outlineLevel="0" collapsed="false">
      <c r="A49" s="5" t="n">
        <v>36</v>
      </c>
      <c r="B49" s="16" t="n">
        <f aca="false">B48+MAX(10,ROUND($B$5*A49^$C$5*$D$5^A49/10,0)*10)</f>
        <v>8095090</v>
      </c>
      <c r="C49" s="24" t="n">
        <f aca="false">ROUND($B$7*A49^$C$7*$D$7^A49,1)</f>
        <v>171.5</v>
      </c>
      <c r="D49" s="28" t="n">
        <f aca="false">ROUND($B$8*A49^$C$8*$D$8^A49,2)</f>
        <v>22.19</v>
      </c>
      <c r="E49" s="16" t="n">
        <f aca="false">$B$11*A49</f>
        <v>216</v>
      </c>
      <c r="F49" s="24" t="n">
        <f aca="false">ROUND($B$9*A49^$C$9*$D$9^A49,1)</f>
        <v>370</v>
      </c>
      <c r="G49" s="24" t="n">
        <f aca="false">ROUND($B$6*A49^$C$6*$D$6^A49,1)</f>
        <v>933.5</v>
      </c>
    </row>
    <row r="50" customFormat="false" ht="15" hidden="false" customHeight="false" outlineLevel="0" collapsed="false">
      <c r="A50" s="5" t="n">
        <v>37</v>
      </c>
      <c r="B50" s="16" t="n">
        <f aca="false">B49+MAX(10,ROUND($B$5*A50^$C$5*$D$5^A50/10,0)*10)</f>
        <v>9694230</v>
      </c>
      <c r="C50" s="24" t="n">
        <f aca="false">ROUND($B$7*A50^$C$7*$D$7^A50,1)</f>
        <v>179.6</v>
      </c>
      <c r="D50" s="28" t="n">
        <f aca="false">ROUND($B$8*A50^$C$8*$D$8^A50,2)</f>
        <v>22.82</v>
      </c>
      <c r="E50" s="16" t="n">
        <f aca="false">$B$11*A50</f>
        <v>222</v>
      </c>
      <c r="F50" s="24" t="n">
        <f aca="false">ROUND($B$9*A50^$C$9*$D$9^A50,1)</f>
        <v>381.2</v>
      </c>
      <c r="G50" s="24" t="n">
        <f aca="false">ROUND($B$6*A50^$C$6*$D$6^A50,1)</f>
        <v>996</v>
      </c>
    </row>
    <row r="51" customFormat="false" ht="15" hidden="false" customHeight="false" outlineLevel="0" collapsed="false">
      <c r="A51" s="5" t="n">
        <v>38</v>
      </c>
      <c r="B51" s="16" t="n">
        <f aca="false">B50+MAX(10,ROUND($B$5*A51^$C$5*$D$5^A51/10,0)*10)</f>
        <v>11598820</v>
      </c>
      <c r="C51" s="24" t="n">
        <f aca="false">ROUND($B$7*A51^$C$7*$D$7^A51,1)</f>
        <v>187.9</v>
      </c>
      <c r="D51" s="28" t="n">
        <f aca="false">ROUND($B$8*A51^$C$8*$D$8^A51,2)</f>
        <v>23.45</v>
      </c>
      <c r="E51" s="16" t="n">
        <f aca="false">$B$11*A51</f>
        <v>228</v>
      </c>
      <c r="F51" s="24" t="n">
        <f aca="false">ROUND($B$9*A51^$C$9*$D$9^A51,1)</f>
        <v>392.4</v>
      </c>
      <c r="G51" s="24" t="n">
        <f aca="false">ROUND($B$6*A51^$C$6*$D$6^A51,1)</f>
        <v>1062.4</v>
      </c>
    </row>
    <row r="52" customFormat="false" ht="15" hidden="false" customHeight="false" outlineLevel="0" collapsed="false">
      <c r="A52" s="5" t="n">
        <v>39</v>
      </c>
      <c r="B52" s="16" t="n">
        <f aca="false">B51+MAX(10,ROUND($B$5*A52^$C$5*$D$5^A52/10,0)*10)</f>
        <v>13865840</v>
      </c>
      <c r="C52" s="24" t="n">
        <f aca="false">ROUND($B$7*A52^$C$7*$D$7^A52,1)</f>
        <v>196.5</v>
      </c>
      <c r="D52" s="28" t="n">
        <f aca="false">ROUND($B$8*A52^$C$8*$D$8^A52,2)</f>
        <v>24.09</v>
      </c>
      <c r="E52" s="16" t="n">
        <f aca="false">$B$11*A52</f>
        <v>234</v>
      </c>
      <c r="F52" s="24" t="n">
        <f aca="false">ROUND($B$9*A52^$C$9*$D$9^A52,1)</f>
        <v>403.6</v>
      </c>
      <c r="G52" s="24" t="n">
        <f aca="false">ROUND($B$6*A52^$C$6*$D$6^A52,1)</f>
        <v>1132.7</v>
      </c>
    </row>
    <row r="53" customFormat="false" ht="15" hidden="false" customHeight="false" outlineLevel="0" collapsed="false">
      <c r="A53" s="5" t="n">
        <v>40</v>
      </c>
      <c r="B53" s="16" t="n">
        <f aca="false">B52+MAX(10,ROUND($B$5*A53^$C$5*$D$5^A53/10,0)*10)</f>
        <v>16562740</v>
      </c>
      <c r="C53" s="24" t="n">
        <f aca="false">ROUND($B$7*A53^$C$7*$D$7^A53,1)</f>
        <v>205.4</v>
      </c>
      <c r="D53" s="28" t="n">
        <f aca="false">ROUND($B$8*A53^$C$8*$D$8^A53,2)</f>
        <v>24.74</v>
      </c>
      <c r="E53" s="16" t="n">
        <f aca="false">$B$11*A53</f>
        <v>240</v>
      </c>
      <c r="F53" s="24" t="n">
        <f aca="false">ROUND($B$9*A53^$C$9*$D$9^A53,1)</f>
        <v>414.8</v>
      </c>
      <c r="G53" s="24" t="n">
        <f aca="false">ROUND($B$6*A53^$C$6*$D$6^A53,1)</f>
        <v>1207.3</v>
      </c>
    </row>
    <row r="54" customFormat="false" ht="15" hidden="false" customHeight="false" outlineLevel="0" collapsed="false">
      <c r="A54" s="5" t="n">
        <v>41</v>
      </c>
      <c r="B54" s="16" t="n">
        <f aca="false">B53+MAX(10,ROUND($B$5*A54^$C$5*$D$5^A54/10,0)*10)</f>
        <v>19769300</v>
      </c>
      <c r="C54" s="24" t="n">
        <f aca="false">ROUND($B$7*A54^$C$7*$D$7^A54,1)</f>
        <v>214.6</v>
      </c>
      <c r="D54" s="28" t="n">
        <f aca="false">ROUND($B$8*A54^$C$8*$D$8^A54,2)</f>
        <v>25.4</v>
      </c>
      <c r="E54" s="16" t="n">
        <f aca="false">$B$11*A54</f>
        <v>246</v>
      </c>
      <c r="F54" s="24" t="n">
        <f aca="false">ROUND($B$9*A54^$C$9*$D$9^A54,1)</f>
        <v>426</v>
      </c>
      <c r="G54" s="24" t="n">
        <f aca="false">ROUND($B$6*A54^$C$6*$D$6^A54,1)</f>
        <v>1286.5</v>
      </c>
    </row>
    <row r="55" customFormat="false" ht="15" hidden="false" customHeight="false" outlineLevel="0" collapsed="false">
      <c r="A55" s="5" t="n">
        <v>42</v>
      </c>
      <c r="B55" s="16" t="n">
        <f aca="false">B54+MAX(10,ROUND($B$5*A55^$C$5*$D$5^A55/10,0)*10)</f>
        <v>23579900</v>
      </c>
      <c r="C55" s="24" t="n">
        <f aca="false">ROUND($B$7*A55^$C$7*$D$7^A55,1)</f>
        <v>224.2</v>
      </c>
      <c r="D55" s="28" t="n">
        <f aca="false">ROUND($B$8*A55^$C$8*$D$8^A55,2)</f>
        <v>26.06</v>
      </c>
      <c r="E55" s="16" t="n">
        <f aca="false">$B$11*A55</f>
        <v>252</v>
      </c>
      <c r="F55" s="24" t="n">
        <f aca="false">ROUND($B$9*A55^$C$9*$D$9^A55,1)</f>
        <v>437.1</v>
      </c>
      <c r="G55" s="24" t="n">
        <f aca="false">ROUND($B$6*A55^$C$6*$D$6^A55,1)</f>
        <v>1370.4</v>
      </c>
    </row>
    <row r="56" customFormat="false" ht="15" hidden="false" customHeight="false" outlineLevel="0" collapsed="false">
      <c r="A56" s="5" t="n">
        <v>43</v>
      </c>
      <c r="B56" s="16" t="n">
        <f aca="false">B55+MAX(10,ROUND($B$5*A56^$C$5*$D$5^A56/10,0)*10)</f>
        <v>28106110</v>
      </c>
      <c r="C56" s="24" t="n">
        <f aca="false">ROUND($B$7*A56^$C$7*$D$7^A56,1)</f>
        <v>234.1</v>
      </c>
      <c r="D56" s="28" t="n">
        <f aca="false">ROUND($B$8*A56^$C$8*$D$8^A56,2)</f>
        <v>26.74</v>
      </c>
      <c r="E56" s="16" t="n">
        <f aca="false">$B$11*A56</f>
        <v>258</v>
      </c>
      <c r="F56" s="24" t="n">
        <f aca="false">ROUND($B$9*A56^$C$9*$D$9^A56,1)</f>
        <v>448.3</v>
      </c>
      <c r="G56" s="24" t="n">
        <f aca="false">ROUND($B$6*A56^$C$6*$D$6^A56,1)</f>
        <v>1459.3</v>
      </c>
    </row>
    <row r="57" customFormat="false" ht="15" hidden="false" customHeight="false" outlineLevel="0" collapsed="false">
      <c r="A57" s="5" t="n">
        <v>44</v>
      </c>
      <c r="B57" s="16" t="n">
        <f aca="false">B56+MAX(10,ROUND($B$5*A57^$C$5*$D$5^A57/10,0)*10)</f>
        <v>33479810</v>
      </c>
      <c r="C57" s="24" t="n">
        <f aca="false">ROUND($B$7*A57^$C$7*$D$7^A57,1)</f>
        <v>244.3</v>
      </c>
      <c r="D57" s="28" t="n">
        <f aca="false">ROUND($B$8*A57^$C$8*$D$8^A57,2)</f>
        <v>27.42</v>
      </c>
      <c r="E57" s="16" t="n">
        <f aca="false">$B$11*A57</f>
        <v>264</v>
      </c>
      <c r="F57" s="24" t="n">
        <f aca="false">ROUND($B$9*A57^$C$9*$D$9^A57,1)</f>
        <v>459.5</v>
      </c>
      <c r="G57" s="24" t="n">
        <f aca="false">ROUND($B$6*A57^$C$6*$D$6^A57,1)</f>
        <v>1553.6</v>
      </c>
    </row>
    <row r="58" customFormat="false" ht="15" hidden="false" customHeight="false" outlineLevel="0" collapsed="false">
      <c r="A58" s="5" t="n">
        <v>45</v>
      </c>
      <c r="B58" s="16" t="n">
        <f aca="false">B57+MAX(10,ROUND($B$5*A58^$C$5*$D$5^A58/10,0)*10)</f>
        <v>39856870</v>
      </c>
      <c r="C58" s="24" t="n">
        <f aca="false">ROUND($B$7*A58^$C$7*$D$7^A58,1)</f>
        <v>254.8</v>
      </c>
      <c r="D58" s="28" t="n">
        <f aca="false">ROUND($B$8*A58^$C$8*$D$8^A58,2)</f>
        <v>28.11</v>
      </c>
      <c r="E58" s="16" t="n">
        <f aca="false">$B$11*A58</f>
        <v>270</v>
      </c>
      <c r="F58" s="24" t="n">
        <f aca="false">ROUND($B$9*A58^$C$9*$D$9^A58,1)</f>
        <v>470.7</v>
      </c>
      <c r="G58" s="24" t="n">
        <f aca="false">ROUND($B$6*A58^$C$6*$D$6^A58,1)</f>
        <v>1653.5</v>
      </c>
    </row>
    <row r="59" customFormat="false" ht="15" hidden="false" customHeight="false" outlineLevel="0" collapsed="false">
      <c r="A59" s="5" t="n">
        <v>46</v>
      </c>
      <c r="B59" s="16" t="n">
        <f aca="false">B58+MAX(10,ROUND($B$5*A59^$C$5*$D$5^A59/10,0)*10)</f>
        <v>47421400</v>
      </c>
      <c r="C59" s="24" t="n">
        <f aca="false">ROUND($B$7*A59^$C$7*$D$7^A59,1)</f>
        <v>265.8</v>
      </c>
      <c r="D59" s="28" t="n">
        <f aca="false">ROUND($B$8*A59^$C$8*$D$8^A59,2)</f>
        <v>28.81</v>
      </c>
      <c r="E59" s="16" t="n">
        <f aca="false">$B$11*A59</f>
        <v>276</v>
      </c>
      <c r="F59" s="24" t="n">
        <f aca="false">ROUND($B$9*A59^$C$9*$D$9^A59,1)</f>
        <v>481.8</v>
      </c>
      <c r="G59" s="24" t="n">
        <f aca="false">ROUND($B$6*A59^$C$6*$D$6^A59,1)</f>
        <v>1759.5</v>
      </c>
    </row>
    <row r="60" customFormat="false" ht="15" hidden="false" customHeight="false" outlineLevel="0" collapsed="false">
      <c r="A60" s="5" t="n">
        <v>47</v>
      </c>
      <c r="B60" s="16" t="n">
        <f aca="false">B59+MAX(10,ROUND($B$5*A60^$C$5*$D$5^A60/10,0)*10)</f>
        <v>56390890</v>
      </c>
      <c r="C60" s="24" t="n">
        <f aca="false">ROUND($B$7*A60^$C$7*$D$7^A60,1)</f>
        <v>277.1</v>
      </c>
      <c r="D60" s="28" t="n">
        <f aca="false">ROUND($B$8*A60^$C$8*$D$8^A60,2)</f>
        <v>29.51</v>
      </c>
      <c r="E60" s="16" t="n">
        <f aca="false">$B$11*A60</f>
        <v>282</v>
      </c>
      <c r="F60" s="24" t="n">
        <f aca="false">ROUND($B$9*A60^$C$9*$D$9^A60,1)</f>
        <v>493</v>
      </c>
      <c r="G60" s="24" t="n">
        <f aca="false">ROUND($B$6*A60^$C$6*$D$6^A60,1)</f>
        <v>1871.7</v>
      </c>
    </row>
    <row r="61" customFormat="false" ht="15" hidden="false" customHeight="false" outlineLevel="0" collapsed="false">
      <c r="A61" s="5" t="n">
        <v>48</v>
      </c>
      <c r="B61" s="16" t="n">
        <f aca="false">B60+MAX(10,ROUND($B$5*A61^$C$5*$D$5^A61/10,0)*10)</f>
        <v>67022130</v>
      </c>
      <c r="C61" s="24" t="n">
        <f aca="false">ROUND($B$7*A61^$C$7*$D$7^A61,1)</f>
        <v>288.8</v>
      </c>
      <c r="D61" s="28" t="n">
        <f aca="false">ROUND($B$8*A61^$C$8*$D$8^A61,2)</f>
        <v>30.23</v>
      </c>
      <c r="E61" s="16" t="n">
        <f aca="false">$B$11*A61</f>
        <v>288</v>
      </c>
      <c r="F61" s="24" t="n">
        <f aca="false">ROUND($B$9*A61^$C$9*$D$9^A61,1)</f>
        <v>504.1</v>
      </c>
      <c r="G61" s="24" t="n">
        <f aca="false">ROUND($B$6*A61^$C$6*$D$6^A61,1)</f>
        <v>1990.7</v>
      </c>
    </row>
    <row r="62" customFormat="false" ht="15" hidden="false" customHeight="false" outlineLevel="0" collapsed="false">
      <c r="A62" s="5" t="n">
        <v>49</v>
      </c>
      <c r="B62" s="16" t="n">
        <f aca="false">B61+MAX(10,ROUND($B$5*A62^$C$5*$D$5^A62/10,0)*10)</f>
        <v>79618290</v>
      </c>
      <c r="C62" s="24" t="n">
        <f aca="false">ROUND($B$7*A62^$C$7*$D$7^A62,1)</f>
        <v>300.9</v>
      </c>
      <c r="D62" s="28" t="n">
        <f aca="false">ROUND($B$8*A62^$C$8*$D$8^A62,2)</f>
        <v>30.96</v>
      </c>
      <c r="E62" s="16" t="n">
        <f aca="false">$B$11*A62</f>
        <v>294</v>
      </c>
      <c r="F62" s="24" t="n">
        <f aca="false">ROUND($B$9*A62^$C$9*$D$9^A62,1)</f>
        <v>515.2</v>
      </c>
      <c r="G62" s="24" t="n">
        <f aca="false">ROUND($B$6*A62^$C$6*$D$6^A62,1)</f>
        <v>2116.8</v>
      </c>
    </row>
    <row r="63" customFormat="false" ht="15" hidden="false" customHeight="false" outlineLevel="0" collapsed="false">
      <c r="A63" s="5" t="n">
        <v>50</v>
      </c>
      <c r="B63" s="16" t="n">
        <f aca="false">B62+MAX(10,ROUND($B$5*A63^$C$5*$D$5^A63/10,0)*10)</f>
        <v>94537180</v>
      </c>
      <c r="C63" s="24" t="n">
        <f aca="false">ROUND($B$7*A63^$C$7*$D$7^A63,1)</f>
        <v>313.4</v>
      </c>
      <c r="D63" s="28" t="n">
        <f aca="false">ROUND($B$8*A63^$C$8*$D$8^A63,2)</f>
        <v>31.69</v>
      </c>
      <c r="E63" s="16" t="n">
        <f aca="false">$B$11*A63</f>
        <v>300</v>
      </c>
      <c r="F63" s="24" t="n">
        <f aca="false">ROUND($B$9*A63^$C$9*$D$9^A63,1)</f>
        <v>526.4</v>
      </c>
      <c r="G63" s="24" t="n">
        <f aca="false">ROUND($B$6*A63^$C$6*$D$6^A63,1)</f>
        <v>2250.4</v>
      </c>
    </row>
    <row r="64" customFormat="false" ht="15" hidden="false" customHeight="false" outlineLevel="0" collapsed="false">
      <c r="A64" s="5" t="n">
        <v>51</v>
      </c>
      <c r="B64" s="16" t="n">
        <f aca="false">B63+MAX(10,ROUND($B$5*A64^$C$5*$D$5^A64/10,0)*10)</f>
        <v>112201040</v>
      </c>
      <c r="C64" s="24" t="n">
        <f aca="false">ROUND($B$7*A64^$C$7*$D$7^A64,1)</f>
        <v>326.4</v>
      </c>
      <c r="D64" s="28" t="n">
        <f aca="false">ROUND($B$8*A64^$C$8*$D$8^A64,2)</f>
        <v>32.44</v>
      </c>
      <c r="E64" s="16" t="n">
        <f aca="false">$B$11*A64</f>
        <v>306</v>
      </c>
      <c r="F64" s="24" t="n">
        <f aca="false">ROUND($B$9*A64^$C$9*$D$9^A64,1)</f>
        <v>537.5</v>
      </c>
      <c r="G64" s="24" t="n">
        <f aca="false">ROUND($B$6*A64^$C$6*$D$6^A64,1)</f>
        <v>2392</v>
      </c>
    </row>
    <row r="65" customFormat="false" ht="15" hidden="false" customHeight="false" outlineLevel="0" collapsed="false">
      <c r="A65" s="5" t="n">
        <v>52</v>
      </c>
      <c r="B65" s="16" t="n">
        <f aca="false">B64+MAX(10,ROUND($B$5*A65^$C$5*$D$5^A65/10,0)*10)</f>
        <v>133108010</v>
      </c>
      <c r="C65" s="24" t="n">
        <f aca="false">ROUND($B$7*A65^$C$7*$D$7^A65,1)</f>
        <v>339.8</v>
      </c>
      <c r="D65" s="28" t="n">
        <f aca="false">ROUND($B$8*A65^$C$8*$D$8^A65,2)</f>
        <v>33.19</v>
      </c>
      <c r="E65" s="16" t="n">
        <f aca="false">$B$11*A65</f>
        <v>312</v>
      </c>
      <c r="F65" s="24" t="n">
        <f aca="false">ROUND($B$9*A65^$C$9*$D$9^A65,1)</f>
        <v>548.5</v>
      </c>
      <c r="G65" s="24" t="n">
        <f aca="false">ROUND($B$6*A65^$C$6*$D$6^A65,1)</f>
        <v>2541.9</v>
      </c>
    </row>
    <row r="66" customFormat="false" ht="15" hidden="false" customHeight="false" outlineLevel="0" collapsed="false">
      <c r="A66" s="5" t="n">
        <v>53</v>
      </c>
      <c r="B66" s="16" t="n">
        <f aca="false">B65+MAX(10,ROUND($B$5*A66^$C$5*$D$5^A66/10,0)*10)</f>
        <v>157845670</v>
      </c>
      <c r="C66" s="24" t="n">
        <f aca="false">ROUND($B$7*A66^$C$7*$D$7^A66,1)</f>
        <v>353.7</v>
      </c>
      <c r="D66" s="28" t="n">
        <f aca="false">ROUND($B$8*A66^$C$8*$D$8^A66,2)</f>
        <v>33.95</v>
      </c>
      <c r="E66" s="16" t="n">
        <f aca="false">$B$11*A66</f>
        <v>318</v>
      </c>
      <c r="F66" s="24" t="n">
        <f aca="false">ROUND($B$9*A66^$C$9*$D$9^A66,1)</f>
        <v>559.6</v>
      </c>
      <c r="G66" s="24" t="n">
        <f aca="false">ROUND($B$6*A66^$C$6*$D$6^A66,1)</f>
        <v>2700.8</v>
      </c>
    </row>
    <row r="67" customFormat="false" ht="15" hidden="false" customHeight="false" outlineLevel="0" collapsed="false">
      <c r="A67" s="5" t="n">
        <v>54</v>
      </c>
      <c r="B67" s="16" t="n">
        <f aca="false">B66+MAX(10,ROUND($B$5*A67^$C$5*$D$5^A67/10,0)*10)</f>
        <v>187106920</v>
      </c>
      <c r="C67" s="24" t="n">
        <f aca="false">ROUND($B$7*A67^$C$7*$D$7^A67,1)</f>
        <v>368</v>
      </c>
      <c r="D67" s="28" t="n">
        <f aca="false">ROUND($B$8*A67^$C$8*$D$8^A67,2)</f>
        <v>34.73</v>
      </c>
      <c r="E67" s="16" t="n">
        <f aca="false">$B$11*A67</f>
        <v>324</v>
      </c>
      <c r="F67" s="24" t="n">
        <f aca="false">ROUND($B$9*A67^$C$9*$D$9^A67,1)</f>
        <v>570.7</v>
      </c>
      <c r="G67" s="24" t="n">
        <f aca="false">ROUND($B$6*A67^$C$6*$D$6^A67,1)</f>
        <v>2869</v>
      </c>
    </row>
    <row r="68" customFormat="false" ht="15" hidden="false" customHeight="false" outlineLevel="0" collapsed="false">
      <c r="A68" s="5" t="n">
        <v>55</v>
      </c>
      <c r="B68" s="16" t="n">
        <f aca="false">B67+MAX(10,ROUND($B$5*A68^$C$5*$D$5^A68/10,0)*10)</f>
        <v>221708760</v>
      </c>
      <c r="C68" s="24" t="n">
        <f aca="false">ROUND($B$7*A68^$C$7*$D$7^A68,1)</f>
        <v>382.8</v>
      </c>
      <c r="D68" s="28" t="n">
        <f aca="false">ROUND($B$8*A68^$C$8*$D$8^A68,2)</f>
        <v>35.51</v>
      </c>
      <c r="E68" s="16" t="n">
        <f aca="false">$B$11*A68</f>
        <v>330</v>
      </c>
      <c r="F68" s="24" t="n">
        <f aca="false">ROUND($B$9*A68^$C$9*$D$9^A68,1)</f>
        <v>581.7</v>
      </c>
      <c r="G68" s="24" t="n">
        <f aca="false">ROUND($B$6*A68^$C$6*$D$6^A68,1)</f>
        <v>3047.2</v>
      </c>
    </row>
    <row r="69" customFormat="false" ht="15" hidden="false" customHeight="false" outlineLevel="0" collapsed="false">
      <c r="A69" s="5" t="n">
        <v>56</v>
      </c>
      <c r="B69" s="16" t="n">
        <f aca="false">B68+MAX(10,ROUND($B$5*A69^$C$5*$D$5^A69/10,0)*10)</f>
        <v>262614280</v>
      </c>
      <c r="C69" s="24" t="n">
        <f aca="false">ROUND($B$7*A69^$C$7*$D$7^A69,1)</f>
        <v>398.1</v>
      </c>
      <c r="D69" s="28" t="n">
        <f aca="false">ROUND($B$8*A69^$C$8*$D$8^A69,2)</f>
        <v>36.31</v>
      </c>
      <c r="E69" s="16" t="n">
        <f aca="false">$B$11*A69</f>
        <v>336</v>
      </c>
      <c r="F69" s="24" t="n">
        <f aca="false">ROUND($B$9*A69^$C$9*$D$9^A69,1)</f>
        <v>592.7</v>
      </c>
      <c r="G69" s="24" t="n">
        <f aca="false">ROUND($B$6*A69^$C$6*$D$6^A69,1)</f>
        <v>3236</v>
      </c>
    </row>
    <row r="70" customFormat="false" ht="15" hidden="false" customHeight="false" outlineLevel="0" collapsed="false">
      <c r="A70" s="5" t="n">
        <v>57</v>
      </c>
      <c r="B70" s="16" t="n">
        <f aca="false">B69+MAX(10,ROUND($B$5*A70^$C$5*$D$5^A70/10,0)*10)</f>
        <v>310958620</v>
      </c>
      <c r="C70" s="24" t="n">
        <f aca="false">ROUND($B$7*A70^$C$7*$D$7^A70,1)</f>
        <v>414</v>
      </c>
      <c r="D70" s="28" t="n">
        <f aca="false">ROUND($B$8*A70^$C$8*$D$8^A70,2)</f>
        <v>37.11</v>
      </c>
      <c r="E70" s="16" t="n">
        <f aca="false">$B$11*A70</f>
        <v>342</v>
      </c>
      <c r="F70" s="24" t="n">
        <f aca="false">ROUND($B$9*A70^$C$9*$D$9^A70,1)</f>
        <v>603.7</v>
      </c>
      <c r="G70" s="24" t="n">
        <f aca="false">ROUND($B$6*A70^$C$6*$D$6^A70,1)</f>
        <v>3435.9</v>
      </c>
    </row>
    <row r="71" customFormat="false" ht="15" hidden="false" customHeight="false" outlineLevel="0" collapsed="false">
      <c r="A71" s="5" t="n">
        <v>58</v>
      </c>
      <c r="B71" s="16" t="n">
        <f aca="false">B70+MAX(10,ROUND($B$5*A71^$C$5*$D$5^A71/10,0)*10)</f>
        <v>368079420</v>
      </c>
      <c r="C71" s="24" t="n">
        <f aca="false">ROUND($B$7*A71^$C$7*$D$7^A71,1)</f>
        <v>430.4</v>
      </c>
      <c r="D71" s="28" t="n">
        <f aca="false">ROUND($B$8*A71^$C$8*$D$8^A71,2)</f>
        <v>37.93</v>
      </c>
      <c r="E71" s="16" t="n">
        <f aca="false">$B$11*A71</f>
        <v>348</v>
      </c>
      <c r="F71" s="24" t="n">
        <f aca="false">ROUND($B$9*A71^$C$9*$D$9^A71,1)</f>
        <v>614.7</v>
      </c>
      <c r="G71" s="24" t="n">
        <f aca="false">ROUND($B$6*A71^$C$6*$D$6^A71,1)</f>
        <v>3647.5</v>
      </c>
    </row>
    <row r="72" customFormat="false" ht="15" hidden="false" customHeight="false" outlineLevel="0" collapsed="false">
      <c r="A72" s="5" t="n">
        <v>59</v>
      </c>
      <c r="B72" s="16" t="n">
        <f aca="false">B71+MAX(10,ROUND($B$5*A72^$C$5*$D$5^A72/10,0)*10)</f>
        <v>435552710</v>
      </c>
      <c r="C72" s="24" t="n">
        <f aca="false">ROUND($B$7*A72^$C$7*$D$7^A72,1)</f>
        <v>447.3</v>
      </c>
      <c r="D72" s="28" t="n">
        <f aca="false">ROUND($B$8*A72^$C$8*$D$8^A72,2)</f>
        <v>38.75</v>
      </c>
      <c r="E72" s="16" t="n">
        <f aca="false">$B$11*A72</f>
        <v>354</v>
      </c>
      <c r="F72" s="24" t="n">
        <f aca="false">ROUND($B$9*A72^$C$9*$D$9^A72,1)</f>
        <v>625.6</v>
      </c>
      <c r="G72" s="24" t="n">
        <f aca="false">ROUND($B$6*A72^$C$6*$D$6^A72,1)</f>
        <v>3871.6</v>
      </c>
    </row>
    <row r="73" customFormat="false" ht="15" hidden="false" customHeight="false" outlineLevel="0" collapsed="false">
      <c r="A73" s="5" t="n">
        <v>60</v>
      </c>
      <c r="B73" s="16" t="n">
        <f aca="false">B72+MAX(10,ROUND($B$5*A73^$C$5*$D$5^A73/10,0)*10)</f>
        <v>515235080</v>
      </c>
      <c r="C73" s="24" t="n">
        <f aca="false">ROUND($B$7*A73^$C$7*$D$7^A73,1)</f>
        <v>464.8</v>
      </c>
      <c r="D73" s="28" t="n">
        <f aca="false">ROUND($B$8*A73^$C$8*$D$8^A73,2)</f>
        <v>39.59</v>
      </c>
      <c r="E73" s="16" t="n">
        <f aca="false">$B$11*A73</f>
        <v>360</v>
      </c>
      <c r="F73" s="24" t="n">
        <f aca="false">ROUND($B$9*A73^$C$9*$D$9^A73,1)</f>
        <v>636.6</v>
      </c>
      <c r="G73" s="24" t="n">
        <f aca="false">ROUND($B$6*A73^$C$6*$D$6^A73,1)</f>
        <v>4108.9</v>
      </c>
    </row>
    <row r="74" customFormat="false" ht="15" hidden="false" customHeight="false" outlineLevel="0" collapsed="false">
      <c r="A74" s="5" t="n">
        <v>61</v>
      </c>
      <c r="B74" s="16" t="n">
        <f aca="false">B73+MAX(10,ROUND($B$5*A74^$C$5*$D$5^A74/10,0)*10)</f>
        <v>609313240</v>
      </c>
      <c r="C74" s="24" t="n">
        <f aca="false">ROUND($B$7*A74^$C$7*$D$7^A74,1)</f>
        <v>482.9</v>
      </c>
      <c r="D74" s="28" t="n">
        <f aca="false">ROUND($B$8*A74^$C$8*$D$8^A74,2)</f>
        <v>40.44</v>
      </c>
      <c r="E74" s="16" t="n">
        <f aca="false">$B$11*A74</f>
        <v>366</v>
      </c>
      <c r="F74" s="24" t="n">
        <f aca="false">ROUND($B$9*A74^$C$9*$D$9^A74,1)</f>
        <v>647.5</v>
      </c>
      <c r="G74" s="24" t="n">
        <f aca="false">ROUND($B$6*A74^$C$6*$D$6^A74,1)</f>
        <v>4360.1</v>
      </c>
    </row>
    <row r="75" customFormat="false" ht="15" hidden="false" customHeight="false" outlineLevel="0" collapsed="false">
      <c r="A75" s="5" t="n">
        <v>62</v>
      </c>
      <c r="B75" s="16" t="n">
        <f aca="false">B74+MAX(10,ROUND($B$5*A75^$C$5*$D$5^A75/10,0)*10)</f>
        <v>720362320</v>
      </c>
      <c r="C75" s="24" t="n">
        <f aca="false">ROUND($B$7*A75^$C$7*$D$7^A75,1)</f>
        <v>501.6</v>
      </c>
      <c r="D75" s="28" t="n">
        <f aca="false">ROUND($B$8*A75^$C$8*$D$8^A75,2)</f>
        <v>41.3</v>
      </c>
      <c r="E75" s="16" t="n">
        <f aca="false">$B$11*A75</f>
        <v>372</v>
      </c>
      <c r="F75" s="24" t="n">
        <f aca="false">ROUND($B$9*A75^$C$9*$D$9^A75,1)</f>
        <v>658.4</v>
      </c>
      <c r="G75" s="24" t="n">
        <f aca="false">ROUND($B$6*A75^$C$6*$D$6^A75,1)</f>
        <v>4626</v>
      </c>
    </row>
    <row r="76" customFormat="false" ht="15" hidden="false" customHeight="false" outlineLevel="0" collapsed="false">
      <c r="A76" s="5" t="n">
        <v>63</v>
      </c>
      <c r="B76" s="16" t="n">
        <f aca="false">B75+MAX(10,ROUND($B$5*A76^$C$5*$D$5^A76/10,0)*10)</f>
        <v>851414420</v>
      </c>
      <c r="C76" s="24" t="n">
        <f aca="false">ROUND($B$7*A76^$C$7*$D$7^A76,1)</f>
        <v>521</v>
      </c>
      <c r="D76" s="28" t="n">
        <f aca="false">ROUND($B$8*A76^$C$8*$D$8^A76,2)</f>
        <v>42.17</v>
      </c>
      <c r="E76" s="16" t="n">
        <f aca="false">$B$11*A76</f>
        <v>378</v>
      </c>
      <c r="F76" s="24" t="n">
        <f aca="false">ROUND($B$9*A76^$C$9*$D$9^A76,1)</f>
        <v>669.2</v>
      </c>
      <c r="G76" s="24" t="n">
        <f aca="false">ROUND($B$6*A76^$C$6*$D$6^A76,1)</f>
        <v>4907.6</v>
      </c>
    </row>
    <row r="77" customFormat="false" ht="15" hidden="false" customHeight="false" outlineLevel="0" collapsed="false">
      <c r="A77" s="5" t="n">
        <v>64</v>
      </c>
      <c r="B77" s="16" t="n">
        <f aca="false">B76+MAX(10,ROUND($B$5*A77^$C$5*$D$5^A77/10,0)*10)</f>
        <v>1006039120</v>
      </c>
      <c r="C77" s="24" t="n">
        <f aca="false">ROUND($B$7*A77^$C$7*$D$7^A77,1)</f>
        <v>541</v>
      </c>
      <c r="D77" s="28" t="n">
        <f aca="false">ROUND($B$8*A77^$C$8*$D$8^A77,2)</f>
        <v>43.06</v>
      </c>
      <c r="E77" s="16" t="n">
        <f aca="false">$B$11*A77</f>
        <v>384</v>
      </c>
      <c r="F77" s="24" t="n">
        <f aca="false">ROUND($B$9*A77^$C$9*$D$9^A77,1)</f>
        <v>680.1</v>
      </c>
      <c r="G77" s="24" t="n">
        <f aca="false">ROUND($B$6*A77^$C$6*$D$6^A77,1)</f>
        <v>5205.5</v>
      </c>
    </row>
    <row r="78" customFormat="false" ht="15" hidden="false" customHeight="false" outlineLevel="0" collapsed="false">
      <c r="A78" s="5" t="n">
        <v>65</v>
      </c>
      <c r="B78" s="16" t="n">
        <f aca="false">B77+MAX(10,ROUND($B$5*A78^$C$5*$D$5^A78/10,0)*10)</f>
        <v>1188438160</v>
      </c>
      <c r="C78" s="24" t="n">
        <f aca="false">ROUND($B$7*A78^$C$7*$D$7^A78,1)</f>
        <v>561.7</v>
      </c>
      <c r="D78" s="28" t="n">
        <f aca="false">ROUND($B$8*A78^$C$8*$D$8^A78,2)</f>
        <v>43.95</v>
      </c>
      <c r="E78" s="16" t="n">
        <f aca="false">$B$11*A78</f>
        <v>390</v>
      </c>
      <c r="F78" s="24" t="n">
        <f aca="false">ROUND($B$9*A78^$C$9*$D$9^A78,1)</f>
        <v>690.9</v>
      </c>
      <c r="G78" s="24" t="n">
        <f aca="false">ROUND($B$6*A78^$C$6*$D$6^A78,1)</f>
        <v>5520.9</v>
      </c>
    </row>
    <row r="79" customFormat="false" ht="15" hidden="false" customHeight="false" outlineLevel="0" collapsed="false">
      <c r="A79" s="5" t="n">
        <v>66</v>
      </c>
      <c r="B79" s="16" t="n">
        <f aca="false">B78+MAX(10,ROUND($B$5*A79^$C$5*$D$5^A79/10,0)*10)</f>
        <v>1403556700</v>
      </c>
      <c r="C79" s="24" t="n">
        <f aca="false">ROUND($B$7*A79^$C$7*$D$7^A79,1)</f>
        <v>583</v>
      </c>
      <c r="D79" s="28" t="n">
        <f aca="false">ROUND($B$8*A79^$C$8*$D$8^A79,2)</f>
        <v>44.86</v>
      </c>
      <c r="E79" s="16" t="n">
        <f aca="false">$B$11*A79</f>
        <v>396</v>
      </c>
      <c r="F79" s="24" t="n">
        <f aca="false">ROUND($B$9*A79^$C$9*$D$9^A79,1)</f>
        <v>701.7</v>
      </c>
      <c r="G79" s="24" t="n">
        <f aca="false">ROUND($B$6*A79^$C$6*$D$6^A79,1)</f>
        <v>5854.7</v>
      </c>
    </row>
    <row r="80" customFormat="false" ht="15" hidden="false" customHeight="false" outlineLevel="0" collapsed="false">
      <c r="A80" s="5" t="n">
        <v>67</v>
      </c>
      <c r="B80" s="16" t="n">
        <f aca="false">B79+MAX(10,ROUND($B$5*A80^$C$5*$D$5^A80/10,0)*10)</f>
        <v>1657214000</v>
      </c>
      <c r="C80" s="24" t="n">
        <f aca="false">ROUND($B$7*A80^$C$7*$D$7^A80,1)</f>
        <v>605.1</v>
      </c>
      <c r="D80" s="28" t="n">
        <f aca="false">ROUND($B$8*A80^$C$8*$D$8^A80,2)</f>
        <v>45.78</v>
      </c>
      <c r="E80" s="16" t="n">
        <f aca="false">$B$11*A80</f>
        <v>402</v>
      </c>
      <c r="F80" s="24" t="n">
        <f aca="false">ROUND($B$9*A80^$C$9*$D$9^A80,1)</f>
        <v>712.5</v>
      </c>
      <c r="G80" s="24" t="n">
        <f aca="false">ROUND($B$6*A80^$C$6*$D$6^A80,1)</f>
        <v>6208</v>
      </c>
    </row>
    <row r="81" customFormat="false" ht="15" hidden="false" customHeight="false" outlineLevel="0" collapsed="false">
      <c r="A81" s="5" t="n">
        <v>68</v>
      </c>
      <c r="B81" s="16" t="n">
        <f aca="false">B80+MAX(10,ROUND($B$5*A81^$C$5*$D$5^A81/10,0)*10)</f>
        <v>1956257020</v>
      </c>
      <c r="C81" s="24" t="n">
        <f aca="false">ROUND($B$7*A81^$C$7*$D$7^A81,1)</f>
        <v>627.9</v>
      </c>
      <c r="D81" s="28" t="n">
        <f aca="false">ROUND($B$8*A81^$C$8*$D$8^A81,2)</f>
        <v>46.72</v>
      </c>
      <c r="E81" s="16" t="n">
        <f aca="false">$B$11*A81</f>
        <v>408</v>
      </c>
      <c r="F81" s="24" t="n">
        <f aca="false">ROUND($B$9*A81^$C$9*$D$9^A81,1)</f>
        <v>723.3</v>
      </c>
      <c r="G81" s="24" t="n">
        <f aca="false">ROUND($B$6*A81^$C$6*$D$6^A81,1)</f>
        <v>6581.8</v>
      </c>
    </row>
    <row r="82" customFormat="false" ht="15" hidden="false" customHeight="false" outlineLevel="0" collapsed="false">
      <c r="A82" s="5" t="n">
        <v>69</v>
      </c>
      <c r="B82" s="16" t="n">
        <f aca="false">B81+MAX(10,ROUND($B$5*A82^$C$5*$D$5^A82/10,0)*10)</f>
        <v>2308740860</v>
      </c>
      <c r="C82" s="24" t="n">
        <f aca="false">ROUND($B$7*A82^$C$7*$D$7^A82,1)</f>
        <v>651.5</v>
      </c>
      <c r="D82" s="28" t="n">
        <f aca="false">ROUND($B$8*A82^$C$8*$D$8^A82,2)</f>
        <v>47.66</v>
      </c>
      <c r="E82" s="16" t="n">
        <f aca="false">$B$11*A82</f>
        <v>414</v>
      </c>
      <c r="F82" s="24" t="n">
        <f aca="false">ROUND($B$9*A82^$C$9*$D$9^A82,1)</f>
        <v>734</v>
      </c>
      <c r="G82" s="24" t="n">
        <f aca="false">ROUND($B$6*A82^$C$6*$D$6^A82,1)</f>
        <v>6977.4</v>
      </c>
    </row>
    <row r="83" customFormat="false" ht="15" hidden="false" customHeight="false" outlineLevel="0" collapsed="false">
      <c r="A83" s="5" t="n">
        <v>70</v>
      </c>
      <c r="B83" s="16" t="n">
        <f aca="false">B82+MAX(10,ROUND($B$5*A83^$C$5*$D$5^A83/10,0)*10)</f>
        <v>2724140660</v>
      </c>
      <c r="C83" s="24" t="n">
        <f aca="false">ROUND($B$7*A83^$C$7*$D$7^A83,1)</f>
        <v>675.9</v>
      </c>
      <c r="D83" s="28" t="n">
        <f aca="false">ROUND($B$8*A83^$C$8*$D$8^A83,2)</f>
        <v>48.62</v>
      </c>
      <c r="E83" s="16" t="n">
        <f aca="false">$B$11*A83</f>
        <v>420</v>
      </c>
      <c r="F83" s="24" t="n">
        <f aca="false">ROUND($B$9*A83^$C$9*$D$9^A83,1)</f>
        <v>744.7</v>
      </c>
      <c r="G83" s="24" t="n">
        <f aca="false">ROUND($B$6*A83^$C$6*$D$6^A83,1)</f>
        <v>7396</v>
      </c>
    </row>
    <row r="84" customFormat="false" ht="15" hidden="false" customHeight="false" outlineLevel="0" collapsed="false">
      <c r="A84" s="5" t="n">
        <v>71</v>
      </c>
      <c r="B84" s="16" t="n">
        <f aca="false">B83+MAX(10,ROUND($B$5*A84^$C$5*$D$5^A84/10,0)*10)</f>
        <v>3213600570</v>
      </c>
      <c r="C84" s="24" t="n">
        <f aca="false">ROUND($B$7*A84^$C$7*$D$7^A84,1)</f>
        <v>701</v>
      </c>
      <c r="D84" s="28" t="n">
        <f aca="false">ROUND($B$8*A84^$C$8*$D$8^A84,2)</f>
        <v>49.59</v>
      </c>
      <c r="E84" s="16" t="n">
        <f aca="false">$B$11*A84</f>
        <v>426</v>
      </c>
      <c r="F84" s="24" t="n">
        <f aca="false">ROUND($B$9*A84^$C$9*$D$9^A84,1)</f>
        <v>755.4</v>
      </c>
      <c r="G84" s="24" t="n">
        <f aca="false">ROUND($B$6*A84^$C$6*$D$6^A84,1)</f>
        <v>7838.9</v>
      </c>
    </row>
    <row r="85" customFormat="false" ht="15" hidden="false" customHeight="false" outlineLevel="0" collapsed="false">
      <c r="A85" s="5" t="n">
        <v>72</v>
      </c>
      <c r="B85" s="16" t="n">
        <f aca="false">B84+MAX(10,ROUND($B$5*A85^$C$5*$D$5^A85/10,0)*10)</f>
        <v>3790226110</v>
      </c>
      <c r="C85" s="24" t="n">
        <f aca="false">ROUND($B$7*A85^$C$7*$D$7^A85,1)</f>
        <v>727</v>
      </c>
      <c r="D85" s="28" t="n">
        <f aca="false">ROUND($B$8*A85^$C$8*$D$8^A85,2)</f>
        <v>50.58</v>
      </c>
      <c r="E85" s="16" t="n">
        <f aca="false">$B$11*A85</f>
        <v>432</v>
      </c>
      <c r="F85" s="24" t="n">
        <f aca="false">ROUND($B$9*A85^$C$9*$D$9^A85,1)</f>
        <v>766</v>
      </c>
      <c r="G85" s="24" t="n">
        <f aca="false">ROUND($B$6*A85^$C$6*$D$6^A85,1)</f>
        <v>8307.4</v>
      </c>
    </row>
    <row r="86" customFormat="false" ht="15" hidden="false" customHeight="false" outlineLevel="0" collapsed="false">
      <c r="A86" s="5" t="n">
        <v>73</v>
      </c>
      <c r="B86" s="16" t="n">
        <f aca="false">B85+MAX(10,ROUND($B$5*A86^$C$5*$D$5^A86/10,0)*10)</f>
        <v>4469427510</v>
      </c>
      <c r="C86" s="24" t="n">
        <f aca="false">ROUND($B$7*A86^$C$7*$D$7^A86,1)</f>
        <v>753.9</v>
      </c>
      <c r="D86" s="28" t="n">
        <f aca="false">ROUND($B$8*A86^$C$8*$D$8^A86,2)</f>
        <v>51.58</v>
      </c>
      <c r="E86" s="16" t="n">
        <f aca="false">$B$11*A86</f>
        <v>438</v>
      </c>
      <c r="F86" s="24" t="n">
        <f aca="false">ROUND($B$9*A86^$C$9*$D$9^A86,1)</f>
        <v>776.6</v>
      </c>
      <c r="G86" s="24" t="n">
        <f aca="false">ROUND($B$6*A86^$C$6*$D$6^A86,1)</f>
        <v>8803.1</v>
      </c>
    </row>
    <row r="87" customFormat="false" ht="15" hidden="false" customHeight="false" outlineLevel="0" collapsed="false">
      <c r="A87" s="5" t="n">
        <v>74</v>
      </c>
      <c r="B87" s="16" t="n">
        <f aca="false">B86+MAX(10,ROUND($B$5*A87^$C$5*$D$5^A87/10,0)*10)</f>
        <v>5269322860</v>
      </c>
      <c r="C87" s="24" t="n">
        <f aca="false">ROUND($B$7*A87^$C$7*$D$7^A87,1)</f>
        <v>781.7</v>
      </c>
      <c r="D87" s="28" t="n">
        <f aca="false">ROUND($B$8*A87^$C$8*$D$8^A87,2)</f>
        <v>52.59</v>
      </c>
      <c r="E87" s="16" t="n">
        <f aca="false">$B$11*A87</f>
        <v>444</v>
      </c>
      <c r="F87" s="24" t="n">
        <f aca="false">ROUND($B$9*A87^$C$9*$D$9^A87,1)</f>
        <v>787.2</v>
      </c>
      <c r="G87" s="24" t="n">
        <f aca="false">ROUND($B$6*A87^$C$6*$D$6^A87,1)</f>
        <v>9327.5</v>
      </c>
    </row>
    <row r="88" customFormat="false" ht="15" hidden="false" customHeight="false" outlineLevel="0" collapsed="false">
      <c r="A88" s="5" t="n">
        <v>75</v>
      </c>
      <c r="B88" s="16" t="n">
        <f aca="false">B87+MAX(10,ROUND($B$5*A88^$C$5*$D$5^A88/10,0)*10)</f>
        <v>6211211500</v>
      </c>
      <c r="C88" s="24" t="n">
        <f aca="false">ROUND($B$7*A88^$C$7*$D$7^A88,1)</f>
        <v>810.4</v>
      </c>
      <c r="D88" s="28" t="n">
        <f aca="false">ROUND($B$8*A88^$C$8*$D$8^A88,2)</f>
        <v>53.61</v>
      </c>
      <c r="E88" s="16" t="n">
        <f aca="false">$B$11*A88</f>
        <v>450</v>
      </c>
      <c r="F88" s="24" t="n">
        <f aca="false">ROUND($B$9*A88^$C$9*$D$9^A88,1)</f>
        <v>797.8</v>
      </c>
      <c r="G88" s="24" t="n">
        <f aca="false">ROUND($B$6*A88^$C$6*$D$6^A88,1)</f>
        <v>9882.2</v>
      </c>
    </row>
    <row r="89" customFormat="false" ht="15" hidden="false" customHeight="false" outlineLevel="0" collapsed="false">
      <c r="A89" s="5" t="n">
        <v>76</v>
      </c>
      <c r="B89" s="16" t="n">
        <f aca="false">B88+MAX(10,ROUND($B$5*A89^$C$5*$D$5^A89/10,0)*10)</f>
        <v>7320129780</v>
      </c>
      <c r="C89" s="24" t="n">
        <f aca="false">ROUND($B$7*A89^$C$7*$D$7^A89,1)</f>
        <v>840</v>
      </c>
      <c r="D89" s="28" t="n">
        <f aca="false">ROUND($B$8*A89^$C$8*$D$8^A89,2)</f>
        <v>54.65</v>
      </c>
      <c r="E89" s="16" t="n">
        <f aca="false">$B$11*A89</f>
        <v>456</v>
      </c>
      <c r="F89" s="24" t="n">
        <f aca="false">ROUND($B$9*A89^$C$9*$D$9^A89,1)</f>
        <v>808.3</v>
      </c>
      <c r="G89" s="24" t="n">
        <f aca="false">ROUND($B$6*A89^$C$6*$D$6^A89,1)</f>
        <v>10469</v>
      </c>
    </row>
    <row r="90" customFormat="false" ht="15" hidden="false" customHeight="false" outlineLevel="0" collapsed="false">
      <c r="A90" s="5" t="n">
        <v>77</v>
      </c>
      <c r="B90" s="16" t="n">
        <f aca="false">B89+MAX(10,ROUND($B$5*A90^$C$5*$D$5^A90/10,0)*10)</f>
        <v>8625503470</v>
      </c>
      <c r="C90" s="24" t="n">
        <f aca="false">ROUND($B$7*A90^$C$7*$D$7^A90,1)</f>
        <v>870.6</v>
      </c>
      <c r="D90" s="28" t="n">
        <f aca="false">ROUND($B$8*A90^$C$8*$D$8^A90,2)</f>
        <v>55.71</v>
      </c>
      <c r="E90" s="16" t="n">
        <f aca="false">$B$11*A90</f>
        <v>462</v>
      </c>
      <c r="F90" s="24" t="n">
        <f aca="false">ROUND($B$9*A90^$C$9*$D$9^A90,1)</f>
        <v>818.9</v>
      </c>
      <c r="G90" s="24" t="n">
        <f aca="false">ROUND($B$6*A90^$C$6*$D$6^A90,1)</f>
        <v>11089.6</v>
      </c>
    </row>
    <row r="91" customFormat="false" ht="15" hidden="false" customHeight="false" outlineLevel="0" collapsed="false">
      <c r="A91" s="5" t="n">
        <v>78</v>
      </c>
      <c r="B91" s="16" t="n">
        <f aca="false">B90+MAX(10,ROUND($B$5*A91^$C$5*$D$5^A91/10,0)*10)</f>
        <v>10161913630</v>
      </c>
      <c r="C91" s="24" t="n">
        <f aca="false">ROUND($B$7*A91^$C$7*$D$7^A91,1)</f>
        <v>902.2</v>
      </c>
      <c r="D91" s="28" t="n">
        <f aca="false">ROUND($B$8*A91^$C$8*$D$8^A91,2)</f>
        <v>56.78</v>
      </c>
      <c r="E91" s="16" t="n">
        <f aca="false">$B$11*A91</f>
        <v>468</v>
      </c>
      <c r="F91" s="24" t="n">
        <f aca="false">ROUND($B$9*A91^$C$9*$D$9^A91,1)</f>
        <v>829.3</v>
      </c>
      <c r="G91" s="24" t="n">
        <f aca="false">ROUND($B$6*A91^$C$6*$D$6^A91,1)</f>
        <v>11746.1</v>
      </c>
    </row>
    <row r="92" customFormat="false" ht="15" hidden="false" customHeight="false" outlineLevel="0" collapsed="false">
      <c r="A92" s="5" t="n">
        <v>79</v>
      </c>
      <c r="B92" s="16" t="n">
        <f aca="false">B91+MAX(10,ROUND($B$5*A92^$C$5*$D$5^A92/10,0)*10)</f>
        <v>11969995500</v>
      </c>
      <c r="C92" s="24" t="n">
        <f aca="false">ROUND($B$7*A92^$C$7*$D$7^A92,1)</f>
        <v>934.9</v>
      </c>
      <c r="D92" s="28" t="n">
        <f aca="false">ROUND($B$8*A92^$C$8*$D$8^A92,2)</f>
        <v>57.86</v>
      </c>
      <c r="E92" s="16" t="n">
        <f aca="false">$B$11*A92</f>
        <v>474</v>
      </c>
      <c r="F92" s="24" t="n">
        <f aca="false">ROUND($B$9*A92^$C$9*$D$9^A92,1)</f>
        <v>839.8</v>
      </c>
      <c r="G92" s="24" t="n">
        <f aca="false">ROUND($B$6*A92^$C$6*$D$6^A92,1)</f>
        <v>12440.3</v>
      </c>
    </row>
    <row r="93" customFormat="false" ht="15" hidden="false" customHeight="false" outlineLevel="0" collapsed="false">
      <c r="A93" s="5" t="n">
        <v>80</v>
      </c>
      <c r="B93" s="16" t="n">
        <f aca="false">B92+MAX(10,ROUND($B$5*A93^$C$5*$D$5^A93/10,0)*10)</f>
        <v>14097493510</v>
      </c>
      <c r="C93" s="24" t="n">
        <f aca="false">ROUND($B$7*A93^$C$7*$D$7^A93,1)</f>
        <v>968.6</v>
      </c>
      <c r="D93" s="28" t="n">
        <f aca="false">ROUND($B$8*A93^$C$8*$D$8^A93,2)</f>
        <v>58.96</v>
      </c>
      <c r="E93" s="16" t="n">
        <f aca="false">$B$11*A93</f>
        <v>480</v>
      </c>
      <c r="F93" s="24" t="n">
        <f aca="false">ROUND($B$9*A93^$C$9*$D$9^A93,1)</f>
        <v>850.2</v>
      </c>
      <c r="G93" s="24" t="n">
        <f aca="false">ROUND($B$6*A93^$C$6*$D$6^A93,1)</f>
        <v>13174.5</v>
      </c>
    </row>
    <row r="94" customFormat="false" ht="15" hidden="false" customHeight="false" outlineLevel="0" collapsed="false">
      <c r="A94" s="5" t="n">
        <v>81</v>
      </c>
      <c r="B94" s="16" t="n">
        <f aca="false">B93+MAX(10,ROUND($B$5*A94^$C$5*$D$5^A94/10,0)*10)</f>
        <v>16600499390</v>
      </c>
      <c r="C94" s="24" t="n">
        <f aca="false">ROUND($B$7*A94^$C$7*$D$7^A94,1)</f>
        <v>1003.5</v>
      </c>
      <c r="D94" s="28" t="n">
        <f aca="false">ROUND($B$8*A94^$C$8*$D$8^A94,2)</f>
        <v>60.08</v>
      </c>
      <c r="E94" s="16" t="n">
        <f aca="false">$B$11*A94</f>
        <v>486</v>
      </c>
      <c r="F94" s="24" t="n">
        <f aca="false">ROUND($B$9*A94^$C$9*$D$9^A94,1)</f>
        <v>860.6</v>
      </c>
      <c r="G94" s="24" t="n">
        <f aca="false">ROUND($B$6*A94^$C$6*$D$6^A94,1)</f>
        <v>13951</v>
      </c>
    </row>
    <row r="95" customFormat="false" ht="15" hidden="false" customHeight="false" outlineLevel="0" collapsed="false">
      <c r="A95" s="5" t="n">
        <v>82</v>
      </c>
      <c r="B95" s="16" t="n">
        <f aca="false">B94+MAX(10,ROUND($B$5*A95^$C$5*$D$5^A95/10,0)*10)</f>
        <v>19544905070</v>
      </c>
      <c r="C95" s="24" t="n">
        <f aca="false">ROUND($B$7*A95^$C$7*$D$7^A95,1)</f>
        <v>1039.4</v>
      </c>
      <c r="D95" s="28" t="n">
        <f aca="false">ROUND($B$8*A95^$C$8*$D$8^A95,2)</f>
        <v>61.2</v>
      </c>
      <c r="E95" s="16" t="n">
        <f aca="false">$B$11*A95</f>
        <v>492</v>
      </c>
      <c r="F95" s="24" t="n">
        <f aca="false">ROUND($B$9*A95^$C$9*$D$9^A95,1)</f>
        <v>871</v>
      </c>
      <c r="G95" s="24" t="n">
        <f aca="false">ROUND($B$6*A95^$C$6*$D$6^A95,1)</f>
        <v>14772.1</v>
      </c>
    </row>
    <row r="96" customFormat="false" ht="15" hidden="false" customHeight="false" outlineLevel="0" collapsed="false">
      <c r="A96" s="5" t="n">
        <v>83</v>
      </c>
      <c r="B96" s="16" t="n">
        <f aca="false">B95+MAX(10,ROUND($B$5*A96^$C$5*$D$5^A96/10,0)*10)</f>
        <v>23008107470</v>
      </c>
      <c r="C96" s="24" t="n">
        <f aca="false">ROUND($B$7*A96^$C$7*$D$7^A96,1)</f>
        <v>1076.6</v>
      </c>
      <c r="D96" s="28" t="n">
        <f aca="false">ROUND($B$8*A96^$C$8*$D$8^A96,2)</f>
        <v>62.35</v>
      </c>
      <c r="E96" s="16" t="n">
        <f aca="false">$B$11*A96</f>
        <v>498</v>
      </c>
      <c r="F96" s="24" t="n">
        <f aca="false">ROUND($B$9*A96^$C$9*$D$9^A96,1)</f>
        <v>881.3</v>
      </c>
      <c r="G96" s="24" t="n">
        <f aca="false">ROUND($B$6*A96^$C$6*$D$6^A96,1)</f>
        <v>15640.3</v>
      </c>
    </row>
    <row r="97" customFormat="false" ht="15" hidden="false" customHeight="false" outlineLevel="0" collapsed="false">
      <c r="A97" s="5" t="n">
        <v>84</v>
      </c>
      <c r="B97" s="16" t="n">
        <f aca="false">B96+MAX(10,ROUND($B$5*A97^$C$5*$D$5^A97/10,0)*10)</f>
        <v>27081008720</v>
      </c>
      <c r="C97" s="24" t="n">
        <f aca="false">ROUND($B$7*A97^$C$7*$D$7^A97,1)</f>
        <v>1115</v>
      </c>
      <c r="D97" s="28" t="n">
        <f aca="false">ROUND($B$8*A97^$C$8*$D$8^A97,2)</f>
        <v>63.51</v>
      </c>
      <c r="E97" s="16" t="n">
        <f aca="false">$B$11*A97</f>
        <v>504</v>
      </c>
      <c r="F97" s="24" t="n">
        <f aca="false">ROUND($B$9*A97^$C$9*$D$9^A97,1)</f>
        <v>891.6</v>
      </c>
      <c r="G97" s="24" t="n">
        <f aca="false">ROUND($B$6*A97^$C$6*$D$6^A97,1)</f>
        <v>16558.3</v>
      </c>
    </row>
    <row r="98" customFormat="false" ht="15" hidden="false" customHeight="false" outlineLevel="0" collapsed="false">
      <c r="A98" s="5" t="n">
        <v>85</v>
      </c>
      <c r="B98" s="16" t="n">
        <f aca="false">B97+MAX(10,ROUND($B$5*A98^$C$5*$D$5^A98/10,0)*10)</f>
        <v>31870362850</v>
      </c>
      <c r="C98" s="24" t="n">
        <f aca="false">ROUND($B$7*A98^$C$7*$D$7^A98,1)</f>
        <v>1154.6</v>
      </c>
      <c r="D98" s="28" t="n">
        <f aca="false">ROUND($B$8*A98^$C$8*$D$8^A98,2)</f>
        <v>64.69</v>
      </c>
      <c r="E98" s="16" t="n">
        <f aca="false">$B$11*A98</f>
        <v>510</v>
      </c>
      <c r="F98" s="24" t="n">
        <f aca="false">ROUND($B$9*A98^$C$9*$D$9^A98,1)</f>
        <v>901.9</v>
      </c>
      <c r="G98" s="24" t="n">
        <f aca="false">ROUND($B$6*A98^$C$6*$D$6^A98,1)</f>
        <v>17528.9</v>
      </c>
    </row>
    <row r="99" customFormat="false" ht="15" hidden="false" customHeight="false" outlineLevel="0" collapsed="false">
      <c r="A99" s="5" t="n">
        <v>86</v>
      </c>
      <c r="B99" s="16" t="n">
        <f aca="false">B98+MAX(10,ROUND($B$5*A99^$C$5*$D$5^A99/10,0)*10)</f>
        <v>37501528760</v>
      </c>
      <c r="C99" s="24" t="n">
        <f aca="false">ROUND($B$7*A99^$C$7*$D$7^A99,1)</f>
        <v>1195.5</v>
      </c>
      <c r="D99" s="28" t="n">
        <f aca="false">ROUND($B$8*A99^$C$8*$D$8^A99,2)</f>
        <v>65.88</v>
      </c>
      <c r="E99" s="16" t="n">
        <f aca="false">$B$11*A99</f>
        <v>516</v>
      </c>
      <c r="F99" s="24" t="n">
        <f aca="false">ROUND($B$9*A99^$C$9*$D$9^A99,1)</f>
        <v>912.2</v>
      </c>
      <c r="G99" s="24" t="n">
        <f aca="false">ROUND($B$6*A99^$C$6*$D$6^A99,1)</f>
        <v>18555.2</v>
      </c>
    </row>
    <row r="100" customFormat="false" ht="15" hidden="false" customHeight="false" outlineLevel="0" collapsed="false">
      <c r="A100" s="5" t="n">
        <v>87</v>
      </c>
      <c r="B100" s="16" t="n">
        <f aca="false">B99+MAX(10,ROUND($B$5*A100^$C$5*$D$5^A100/10,0)*10)</f>
        <v>44121699530</v>
      </c>
      <c r="C100" s="24" t="n">
        <f aca="false">ROUND($B$7*A100^$C$7*$D$7^A100,1)</f>
        <v>1237.8</v>
      </c>
      <c r="D100" s="28" t="n">
        <f aca="false">ROUND($B$8*A100^$C$8*$D$8^A100,2)</f>
        <v>67.09</v>
      </c>
      <c r="E100" s="16" t="n">
        <f aca="false">$B$11*A100</f>
        <v>522</v>
      </c>
      <c r="F100" s="24" t="n">
        <f aca="false">ROUND($B$9*A100^$C$9*$D$9^A100,1)</f>
        <v>922.4</v>
      </c>
      <c r="G100" s="24" t="n">
        <f aca="false">ROUND($B$6*A100^$C$6*$D$6^A100,1)</f>
        <v>19640.2</v>
      </c>
    </row>
    <row r="101" customFormat="false" ht="15" hidden="false" customHeight="false" outlineLevel="0" collapsed="false">
      <c r="A101" s="5" t="n">
        <v>88</v>
      </c>
      <c r="B101" s="16" t="n">
        <f aca="false">B100+MAX(10,ROUND($B$5*A101^$C$5*$D$5^A101/10,0)*10)</f>
        <v>51903690340</v>
      </c>
      <c r="C101" s="24" t="n">
        <f aca="false">ROUND($B$7*A101^$C$7*$D$7^A101,1)</f>
        <v>1281.4</v>
      </c>
      <c r="D101" s="28" t="n">
        <f aca="false">ROUND($B$8*A101^$C$8*$D$8^A101,2)</f>
        <v>68.31</v>
      </c>
      <c r="E101" s="16" t="n">
        <f aca="false">$B$11*A101</f>
        <v>528</v>
      </c>
      <c r="F101" s="24" t="n">
        <f aca="false">ROUND($B$9*A101^$C$9*$D$9^A101,1)</f>
        <v>932.6</v>
      </c>
      <c r="G101" s="24" t="n">
        <f aca="false">ROUND($B$6*A101^$C$6*$D$6^A101,1)</f>
        <v>20787.2</v>
      </c>
    </row>
    <row r="102" customFormat="false" ht="15" hidden="false" customHeight="false" outlineLevel="0" collapsed="false">
      <c r="A102" s="5" t="n">
        <v>89</v>
      </c>
      <c r="B102" s="16" t="n">
        <f aca="false">B101+MAX(10,ROUND($B$5*A102^$C$5*$D$5^A102/10,0)*10)</f>
        <v>61050381210</v>
      </c>
      <c r="C102" s="24" t="n">
        <f aca="false">ROUND($B$7*A102^$C$7*$D$7^A102,1)</f>
        <v>1326.5</v>
      </c>
      <c r="D102" s="28" t="n">
        <f aca="false">ROUND($B$8*A102^$C$8*$D$8^A102,2)</f>
        <v>69.56</v>
      </c>
      <c r="E102" s="16" t="n">
        <f aca="false">$B$11*A102</f>
        <v>534</v>
      </c>
      <c r="F102" s="24" t="n">
        <f aca="false">ROUND($B$9*A102^$C$9*$D$9^A102,1)</f>
        <v>942.7</v>
      </c>
      <c r="G102" s="24" t="n">
        <f aca="false">ROUND($B$6*A102^$C$6*$D$6^A102,1)</f>
        <v>21999.8</v>
      </c>
    </row>
    <row r="103" customFormat="false" ht="15" hidden="false" customHeight="false" outlineLevel="0" collapsed="false">
      <c r="A103" s="5" t="n">
        <v>90</v>
      </c>
      <c r="B103" s="16" t="n">
        <f aca="false">B102+MAX(10,ROUND($B$5*A103^$C$5*$D$5^A103/10,0)*10)</f>
        <v>71799927500</v>
      </c>
      <c r="C103" s="24" t="n">
        <f aca="false">ROUND($B$7*A103^$C$7*$D$7^A103,1)</f>
        <v>1373</v>
      </c>
      <c r="D103" s="28" t="n">
        <f aca="false">ROUND($B$8*A103^$C$8*$D$8^A103,2)</f>
        <v>70.82</v>
      </c>
      <c r="E103" s="16" t="n">
        <f aca="false">$B$11*A103</f>
        <v>540</v>
      </c>
      <c r="F103" s="24" t="n">
        <f aca="false">ROUND($B$9*A103^$C$9*$D$9^A103,1)</f>
        <v>952.8</v>
      </c>
      <c r="G103" s="24" t="n">
        <f aca="false">ROUND($B$6*A103^$C$6*$D$6^A103,1)</f>
        <v>23281.7</v>
      </c>
    </row>
    <row r="104" customFormat="false" ht="15" hidden="false" customHeight="false" outlineLevel="0" collapsed="false">
      <c r="A104" s="5" t="n">
        <v>91</v>
      </c>
      <c r="B104" s="16" t="n">
        <f aca="false">B103+MAX(10,ROUND($B$5*A104^$C$5*$D$5^A104/10,0)*10)</f>
        <v>84431870400</v>
      </c>
      <c r="C104" s="24" t="n">
        <f aca="false">ROUND($B$7*A104^$C$7*$D$7^A104,1)</f>
        <v>1421</v>
      </c>
      <c r="D104" s="28" t="n">
        <f aca="false">ROUND($B$8*A104^$C$8*$D$8^A104,2)</f>
        <v>72.09</v>
      </c>
      <c r="E104" s="16" t="n">
        <f aca="false">$B$11*A104</f>
        <v>546</v>
      </c>
      <c r="F104" s="24" t="n">
        <f aca="false">ROUND($B$9*A104^$C$9*$D$9^A104,1)</f>
        <v>962.9</v>
      </c>
      <c r="G104" s="24" t="n">
        <f aca="false">ROUND($B$6*A104^$C$6*$D$6^A104,1)</f>
        <v>24636.7</v>
      </c>
    </row>
    <row r="105" customFormat="false" ht="15" hidden="false" customHeight="false" outlineLevel="0" collapsed="false">
      <c r="A105" s="5" t="n">
        <v>92</v>
      </c>
      <c r="B105" s="16" t="n">
        <f aca="false">B104+MAX(10,ROUND($B$5*A105^$C$5*$D$5^A105/10,0)*10)</f>
        <v>99274302420</v>
      </c>
      <c r="C105" s="24" t="n">
        <f aca="false">ROUND($B$7*A105^$C$7*$D$7^A105,1)</f>
        <v>1470.6</v>
      </c>
      <c r="D105" s="28" t="n">
        <f aca="false">ROUND($B$8*A105^$C$8*$D$8^A105,2)</f>
        <v>73.39</v>
      </c>
      <c r="E105" s="16" t="n">
        <f aca="false">$B$11*A105</f>
        <v>552</v>
      </c>
      <c r="F105" s="24" t="n">
        <f aca="false">ROUND($B$9*A105^$C$9*$D$9^A105,1)</f>
        <v>973</v>
      </c>
      <c r="G105" s="24" t="n">
        <f aca="false">ROUND($B$6*A105^$C$6*$D$6^A105,1)</f>
        <v>26068.9</v>
      </c>
    </row>
    <row r="106" customFormat="false" ht="15" hidden="false" customHeight="false" outlineLevel="0" collapsed="false">
      <c r="A106" s="5" t="n">
        <v>93</v>
      </c>
      <c r="B106" s="16" t="n">
        <f aca="false">B105+MAX(10,ROUND($B$5*A106^$C$5*$D$5^A106/10,0)*10)</f>
        <v>116712269480</v>
      </c>
      <c r="C106" s="24" t="n">
        <f aca="false">ROUND($B$7*A106^$C$7*$D$7^A106,1)</f>
        <v>1521.7</v>
      </c>
      <c r="D106" s="28" t="n">
        <f aca="false">ROUND($B$8*A106^$C$8*$D$8^A106,2)</f>
        <v>74.7</v>
      </c>
      <c r="E106" s="16" t="n">
        <f aca="false">$B$11*A106</f>
        <v>558</v>
      </c>
      <c r="F106" s="24" t="n">
        <f aca="false">ROUND($B$9*A106^$C$9*$D$9^A106,1)</f>
        <v>983</v>
      </c>
      <c r="G106" s="24" t="n">
        <f aca="false">ROUND($B$6*A106^$C$6*$D$6^A106,1)</f>
        <v>27582.8</v>
      </c>
    </row>
    <row r="107" customFormat="false" ht="15" hidden="false" customHeight="false" outlineLevel="0" collapsed="false">
      <c r="A107" s="5" t="n">
        <v>94</v>
      </c>
      <c r="B107" s="16" t="n">
        <f aca="false">B106+MAX(10,ROUND($B$5*A107^$C$5*$D$5^A107/10,0)*10)</f>
        <v>137197622460</v>
      </c>
      <c r="C107" s="24" t="n">
        <f aca="false">ROUND($B$7*A107^$C$7*$D$7^A107,1)</f>
        <v>1574.6</v>
      </c>
      <c r="D107" s="28" t="n">
        <f aca="false">ROUND($B$8*A107^$C$8*$D$8^A107,2)</f>
        <v>76.03</v>
      </c>
      <c r="E107" s="16" t="n">
        <f aca="false">$B$11*A107</f>
        <v>564</v>
      </c>
      <c r="F107" s="24" t="n">
        <f aca="false">ROUND($B$9*A107^$C$9*$D$9^A107,1)</f>
        <v>993</v>
      </c>
      <c r="G107" s="24" t="n">
        <f aca="false">ROUND($B$6*A107^$C$6*$D$6^A107,1)</f>
        <v>29182.9</v>
      </c>
    </row>
    <row r="108" customFormat="false" ht="15" hidden="false" customHeight="false" outlineLevel="0" collapsed="false">
      <c r="A108" s="5" t="n">
        <v>95</v>
      </c>
      <c r="B108" s="16" t="n">
        <f aca="false">B107+MAX(10,ROUND($B$5*A108^$C$5*$D$5^A108/10,0)*10)</f>
        <v>161260567460</v>
      </c>
      <c r="C108" s="24" t="n">
        <f aca="false">ROUND($B$7*A108^$C$7*$D$7^A108,1)</f>
        <v>1629.1</v>
      </c>
      <c r="D108" s="28" t="n">
        <f aca="false">ROUND($B$8*A108^$C$8*$D$8^A108,2)</f>
        <v>77.38</v>
      </c>
      <c r="E108" s="16" t="n">
        <f aca="false">$B$11*A108</f>
        <v>570</v>
      </c>
      <c r="F108" s="24" t="n">
        <f aca="false">ROUND($B$9*A108^$C$9*$D$9^A108,1)</f>
        <v>1003</v>
      </c>
      <c r="G108" s="24" t="n">
        <f aca="false">ROUND($B$6*A108^$C$6*$D$6^A108,1)</f>
        <v>30874.1</v>
      </c>
    </row>
    <row r="109" customFormat="false" ht="15" hidden="false" customHeight="false" outlineLevel="0" collapsed="false">
      <c r="A109" s="5" t="n">
        <v>96</v>
      </c>
      <c r="B109" s="16" t="n">
        <f aca="false">B108+MAX(10,ROUND($B$5*A109^$C$5*$D$5^A109/10,0)*10)</f>
        <v>189523206930</v>
      </c>
      <c r="C109" s="24" t="n">
        <f aca="false">ROUND($B$7*A109^$C$7*$D$7^A109,1)</f>
        <v>1685.4</v>
      </c>
      <c r="D109" s="28" t="n">
        <f aca="false">ROUND($B$8*A109^$C$8*$D$8^A109,2)</f>
        <v>78.75</v>
      </c>
      <c r="E109" s="16" t="n">
        <f aca="false">$B$11*A109</f>
        <v>576</v>
      </c>
      <c r="F109" s="24" t="n">
        <f aca="false">ROUND($B$9*A109^$C$9*$D$9^A109,1)</f>
        <v>1012.9</v>
      </c>
      <c r="G109" s="24" t="n">
        <f aca="false">ROUND($B$6*A109^$C$6*$D$6^A109,1)</f>
        <v>32661.4</v>
      </c>
    </row>
    <row r="110" customFormat="false" ht="15" hidden="false" customHeight="false" outlineLevel="0" collapsed="false">
      <c r="A110" s="5" t="n">
        <v>97</v>
      </c>
      <c r="B110" s="16" t="n">
        <f aca="false">B109+MAX(10,ROUND($B$5*A110^$C$5*$D$5^A110/10,0)*10)</f>
        <v>222715413900</v>
      </c>
      <c r="C110" s="24" t="n">
        <f aca="false">ROUND($B$7*A110^$C$7*$D$7^A110,1)</f>
        <v>1743.5</v>
      </c>
      <c r="D110" s="28" t="n">
        <f aca="false">ROUND($B$8*A110^$C$8*$D$8^A110,2)</f>
        <v>80.14</v>
      </c>
      <c r="E110" s="16" t="n">
        <f aca="false">$B$11*A110</f>
        <v>582</v>
      </c>
      <c r="F110" s="24" t="n">
        <f aca="false">ROUND($B$9*A110^$C$9*$D$9^A110,1)</f>
        <v>1022.8</v>
      </c>
      <c r="G110" s="24" t="n">
        <f aca="false">ROUND($B$6*A110^$C$6*$D$6^A110,1)</f>
        <v>34550.2</v>
      </c>
    </row>
    <row r="111" customFormat="false" ht="15" hidden="false" customHeight="false" outlineLevel="0" collapsed="false">
      <c r="A111" s="5" t="n">
        <v>98</v>
      </c>
      <c r="B111" s="16" t="n">
        <f aca="false">B110+MAX(10,ROUND($B$5*A111^$C$5*$D$5^A111/10,0)*10)</f>
        <v>261693440160</v>
      </c>
      <c r="C111" s="24" t="n">
        <f aca="false">ROUND($B$7*A111^$C$7*$D$7^A111,1)</f>
        <v>1803.5</v>
      </c>
      <c r="D111" s="28" t="n">
        <f aca="false">ROUND($B$8*A111^$C$8*$D$8^A111,2)</f>
        <v>81.54</v>
      </c>
      <c r="E111" s="16" t="n">
        <f aca="false">$B$11*A111</f>
        <v>588</v>
      </c>
      <c r="F111" s="24" t="n">
        <f aca="false">ROUND($B$9*A111^$C$9*$D$9^A111,1)</f>
        <v>1032.7</v>
      </c>
      <c r="G111" s="24" t="n">
        <f aca="false">ROUND($B$6*A111^$C$6*$D$6^A111,1)</f>
        <v>36546.4</v>
      </c>
    </row>
    <row r="112" customFormat="false" ht="15" hidden="false" customHeight="false" outlineLevel="0" collapsed="false">
      <c r="A112" s="5" t="n">
        <v>99</v>
      </c>
      <c r="B112" s="16" t="n">
        <f aca="false">B111+MAX(10,ROUND($B$5*A112^$C$5*$D$5^A112/10,0)*10)</f>
        <v>307461728030</v>
      </c>
      <c r="C112" s="24" t="n">
        <f aca="false">ROUND($B$7*A112^$C$7*$D$7^A112,1)</f>
        <v>1865.4</v>
      </c>
      <c r="D112" s="28" t="n">
        <f aca="false">ROUND($B$8*A112^$C$8*$D$8^A112,2)</f>
        <v>82.97</v>
      </c>
      <c r="E112" s="16" t="n">
        <f aca="false">$B$11*A112</f>
        <v>594</v>
      </c>
      <c r="F112" s="24" t="n">
        <f aca="false">ROUND($B$9*A112^$C$9*$D$9^A112,1)</f>
        <v>1042.5</v>
      </c>
      <c r="G112" s="24" t="n">
        <f aca="false">ROUND($B$6*A112^$C$6*$D$6^A112,1)</f>
        <v>38655.8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2026-10-20T15:00:37Z</dcterms:created>
  <dc:creator>openpyxl</dc:creator>
  <dc:description/>
  <dc:language>en-US</dc:language>
  <cp:lastModifiedBy/>
  <dcterms:modified xsi:type="dcterms:W3CDTF">2026-10-20T12:00:40Z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